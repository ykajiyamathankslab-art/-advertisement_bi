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3C56B6-ED2B-4828-B6D6-3D1FAFA8113D}" xr6:coauthVersionLast="47" xr6:coauthVersionMax="47" xr10:uidLastSave="{00000000-0000-0000-0000-000000000000}"/>
  <bookViews>
    <workbookView xWindow="-110" yWindow="-110" windowWidth="19420" windowHeight="10300" tabRatio="916" firstSheet="2" activeTab="3" xr2:uid="{00000000-000D-0000-FFFF-FFFF00000000}"/>
  </bookViews>
  <sheets>
    <sheet name="設定_予算" sheetId="1" r:id="rId1"/>
    <sheet name="月次サマリー" sheetId="7" r:id="rId2"/>
    <sheet name="日次データ_全体" sheetId="2" r:id="rId3"/>
    <sheet name="全体最適レポート" sheetId="5" r:id="rId4"/>
    <sheet name="RPP出稿リスト" sheetId="3" r:id="rId5"/>
    <sheet name="キーワード設定" sheetId="4" r:id="rId6"/>
    <sheet name="店舗月次集計" sheetId="9" r:id="rId7"/>
    <sheet name="過去1年間売り上げ" sheetId="10" r:id="rId8"/>
    <sheet name="過去1年間流入キーワードランキング" sheetId="12" r:id="rId9"/>
    <sheet name="作業履歴" sheetId="6" r:id="rId10"/>
    <sheet name="ふるさとチョイス設定_予算" sheetId="13" r:id="rId11"/>
    <sheet name="ふるさとチョイス日次データ_全体" sheetId="14" r:id="rId12"/>
    <sheet name="ふるさとチョイス全体最適レポート" sheetId="15" r:id="rId13"/>
    <sheet name="ふるさとチョイス設定キーワード" sheetId="16" r:id="rId14"/>
    <sheet name="ふるさとチョイス作業履歴" sheetId="18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3" l="1"/>
  <c r="C13" i="13"/>
  <c r="B12" i="7"/>
  <c r="B11" i="7"/>
  <c r="B10" i="7"/>
  <c r="B9" i="7"/>
  <c r="B6" i="7"/>
  <c r="B14" i="7" s="1"/>
  <c r="B5" i="7"/>
  <c r="B13" i="7" s="1"/>
  <c r="B4" i="7"/>
  <c r="B8" i="7" s="1"/>
  <c r="B3" i="7"/>
  <c r="B7" i="7" s="1"/>
  <c r="B2" i="7"/>
  <c r="C14" i="1"/>
  <c r="C13" i="1"/>
</calcChain>
</file>

<file path=xl/sharedStrings.xml><?xml version="1.0" encoding="utf-8"?>
<sst xmlns="http://schemas.openxmlformats.org/spreadsheetml/2006/main" count="10341" uniqueCount="1472">
  <si>
    <t>熊野町</t>
  </si>
  <si>
    <t>担当者</t>
  </si>
  <si>
    <t>年月</t>
  </si>
  <si>
    <r>
      <rPr>
        <b/>
        <sz val="11"/>
        <color rgb="FFFFFFFF"/>
        <rFont val="Noto Sans CJK SC"/>
        <family val="2"/>
      </rPr>
      <t>予算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税込</t>
    </r>
    <r>
      <rPr>
        <b/>
        <sz val="11"/>
        <color rgb="FFFFFFFF"/>
        <rFont val="Cambria"/>
        <family val="1"/>
      </rPr>
      <t>)</t>
    </r>
  </si>
  <si>
    <r>
      <rPr>
        <b/>
        <sz val="11"/>
        <color rgb="FFFFFFFF"/>
        <rFont val="Noto Sans CJK SC"/>
        <family val="2"/>
      </rPr>
      <t>目標</t>
    </r>
    <r>
      <rPr>
        <b/>
        <sz val="11"/>
        <color rgb="FFFFFFFF"/>
        <rFont val="Cambria"/>
        <family val="1"/>
      </rPr>
      <t>ROAS(%)</t>
    </r>
  </si>
  <si>
    <t>備考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</si>
  <si>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01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</si>
  <si>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03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</si>
  <si>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04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</si>
  <si>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05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</si>
  <si>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06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</si>
  <si>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07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</si>
  <si>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08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</si>
  <si>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09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</si>
  <si>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>月</t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</si>
  <si>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Noto Sans CJK SC"/>
        <family val="2"/>
      </rPr>
      <t>月</t>
    </r>
  </si>
  <si>
    <t>日付</t>
  </si>
  <si>
    <t>CTR(%)</t>
  </si>
  <si>
    <t>割引後実績額</t>
  </si>
  <si>
    <t>商品管理番号</t>
  </si>
  <si>
    <t>商品名</t>
  </si>
  <si>
    <t>価格</t>
  </si>
  <si>
    <t>43-13</t>
  </si>
  <si>
    <t>https://item.rakuten.co.jp/f343072-kumano/43-13/</t>
  </si>
  <si>
    <t>No</t>
  </si>
  <si>
    <t>26-41</t>
  </si>
  <si>
    <t>https://item.rakuten.co.jp/f343072-kumano/26-41/</t>
  </si>
  <si>
    <t>46-23</t>
  </si>
  <si>
    <t>https://item.rakuten.co.jp/f343072-kumano/46-23/</t>
  </si>
  <si>
    <t>27-168</t>
  </si>
  <si>
    <t>https://item.rakuten.co.jp/f343072-kumano/27-168/</t>
  </si>
  <si>
    <t>26-42</t>
  </si>
  <si>
    <t>https://item.rakuten.co.jp/f343072-kumano/26-42/</t>
  </si>
  <si>
    <t>27-73</t>
  </si>
  <si>
    <t>https://item.rakuten.co.jp/f343072-kumano/27-73/</t>
  </si>
  <si>
    <t>45-19</t>
  </si>
  <si>
    <t>https://item.rakuten.co.jp/f343072-kumano/45-19/</t>
  </si>
  <si>
    <t>14-4</t>
  </si>
  <si>
    <t>https://item.rakuten.co.jp/f343072-kumano/14-4/</t>
  </si>
  <si>
    <t>28-9</t>
  </si>
  <si>
    <t>https://item.rakuten.co.jp/f343072-kumano/28-9/</t>
  </si>
  <si>
    <t>28-8</t>
  </si>
  <si>
    <t>https://item.rakuten.co.jp/f343072-kumano/28-8/</t>
  </si>
  <si>
    <t>キーワード</t>
  </si>
  <si>
    <t>熊野筆 アイメイクブラシ ふるさと納税</t>
  </si>
  <si>
    <t>熊野筆 白鳳堂 ふるさと納税</t>
  </si>
  <si>
    <t>入札単価</t>
  </si>
  <si>
    <t>https://item.rakuten.co.jp/f343072-kumano/49-6/</t>
  </si>
  <si>
    <t>49-6</t>
  </si>
  <si>
    <t>https://item.rakuten.co.jp/f343072-kumano/49-13/</t>
  </si>
  <si>
    <t>49-13</t>
  </si>
  <si>
    <t>https://item.rakuten.co.jp/f343072-kumano/49-12/</t>
  </si>
  <si>
    <t>49-12</t>
  </si>
  <si>
    <t>https://item.rakuten.co.jp/f343072-kumano/48-1/</t>
  </si>
  <si>
    <t>48-1</t>
  </si>
  <si>
    <t>https://item.rakuten.co.jp/f343072-kumano/47-3/</t>
  </si>
  <si>
    <t>47-3</t>
  </si>
  <si>
    <t>https://item.rakuten.co.jp/f343072-kumano/47-2/</t>
  </si>
  <si>
    <t>47-2</t>
  </si>
  <si>
    <t>https://item.rakuten.co.jp/f343072-kumano/46-27/</t>
  </si>
  <si>
    <t>46-27</t>
  </si>
  <si>
    <t>https://item.rakuten.co.jp/f343072-kumano/46-25/</t>
  </si>
  <si>
    <t>46-25</t>
  </si>
  <si>
    <t>https://item.rakuten.co.jp/f343072-kumano/46-22/</t>
  </si>
  <si>
    <t>46-22</t>
  </si>
  <si>
    <t>https://item.rakuten.co.jp/f343072-kumano/46-21/</t>
  </si>
  <si>
    <t>46-21</t>
  </si>
  <si>
    <t>時刻</t>
  </si>
  <si>
    <t>作業種別</t>
  </si>
  <si>
    <t>対象商品</t>
  </si>
  <si>
    <t>変更前</t>
  </si>
  <si>
    <t>変更後</t>
  </si>
  <si>
    <t>-</t>
  </si>
  <si>
    <t>商品追加</t>
  </si>
  <si>
    <t>CPC</t>
  </si>
  <si>
    <t>20</t>
  </si>
  <si>
    <t/>
  </si>
  <si>
    <t>11</t>
  </si>
  <si>
    <t>110</t>
  </si>
  <si>
    <t>10</t>
  </si>
  <si>
    <t>0</t>
  </si>
  <si>
    <t>0.00</t>
  </si>
  <si>
    <t>1</t>
  </si>
  <si>
    <t>0.38</t>
  </si>
  <si>
    <t>9</t>
  </si>
  <si>
    <t>13</t>
  </si>
  <si>
    <t>8</t>
  </si>
  <si>
    <t>90</t>
  </si>
  <si>
    <t>12</t>
  </si>
  <si>
    <t>0.44</t>
  </si>
  <si>
    <t>2</t>
  </si>
  <si>
    <t>40</t>
  </si>
  <si>
    <t>0.22</t>
  </si>
  <si>
    <t>3</t>
  </si>
  <si>
    <t>14</t>
  </si>
  <si>
    <t>https://item.rakuten.co.jp/f343072-kumano/46-13/</t>
  </si>
  <si>
    <t>46-13</t>
  </si>
  <si>
    <t>0.28</t>
  </si>
  <si>
    <t>6</t>
  </si>
  <si>
    <t>60</t>
  </si>
  <si>
    <t>https://item.rakuten.co.jp/f343072-kumano/45-7/</t>
  </si>
  <si>
    <t>45-7</t>
  </si>
  <si>
    <t>0.47</t>
  </si>
  <si>
    <t>30</t>
  </si>
  <si>
    <t>0.05</t>
  </si>
  <si>
    <t>7</t>
  </si>
  <si>
    <t>https://item.rakuten.co.jp/f343072-kumano/45-14/</t>
  </si>
  <si>
    <t>45-14</t>
  </si>
  <si>
    <t>0.04</t>
  </si>
  <si>
    <t>https://item.rakuten.co.jp/f343072-kumano/43-9/</t>
  </si>
  <si>
    <t>43-9</t>
  </si>
  <si>
    <t>0.29</t>
  </si>
  <si>
    <t>16</t>
  </si>
  <si>
    <t>160</t>
  </si>
  <si>
    <t>0.11</t>
  </si>
  <si>
    <t>4</t>
  </si>
  <si>
    <t>15</t>
  </si>
  <si>
    <t>https://item.rakuten.co.jp/f343072-kumano/41-3/</t>
  </si>
  <si>
    <t>41-3</t>
  </si>
  <si>
    <t>https://item.rakuten.co.jp/f343072-kumano/29-20/</t>
  </si>
  <si>
    <t>29-20</t>
  </si>
  <si>
    <t>0.26</t>
  </si>
  <si>
    <t>https://item.rakuten.co.jp/f343072-kumano/29-17/</t>
  </si>
  <si>
    <t>29-17</t>
  </si>
  <si>
    <t>0.36</t>
  </si>
  <si>
    <t>0.07</t>
  </si>
  <si>
    <t>18</t>
  </si>
  <si>
    <t>0.19</t>
  </si>
  <si>
    <t>19</t>
  </si>
  <si>
    <t>https://item.rakuten.co.jp/f343072-kumano/28-6/</t>
  </si>
  <si>
    <t>28-6</t>
  </si>
  <si>
    <t>https://item.rakuten.co.jp/f343072-kumano/28-4/</t>
  </si>
  <si>
    <t>28-4</t>
  </si>
  <si>
    <t>https://item.rakuten.co.jp/f343072-kumano/28-14/</t>
  </si>
  <si>
    <t>28-14</t>
  </si>
  <si>
    <t>https://item.rakuten.co.jp/f343072-kumano/28-13/</t>
  </si>
  <si>
    <t>28-13</t>
  </si>
  <si>
    <t>0.02</t>
  </si>
  <si>
    <t>https://item.rakuten.co.jp/f343072-kumano/28-12/</t>
  </si>
  <si>
    <t>28-12</t>
  </si>
  <si>
    <t>50</t>
  </si>
  <si>
    <t>https://item.rakuten.co.jp/f343072-kumano/28-11/</t>
  </si>
  <si>
    <t>28-11</t>
  </si>
  <si>
    <t>0.15</t>
  </si>
  <si>
    <t>https://item.rakuten.co.jp/f343072-kumano/28-10/</t>
  </si>
  <si>
    <t>28-10</t>
  </si>
  <si>
    <t>https://item.rakuten.co.jp/f343072-kumano/28-1/</t>
  </si>
  <si>
    <t>28-1</t>
  </si>
  <si>
    <t>https://item.rakuten.co.jp/f343072-kumano/27-92/</t>
  </si>
  <si>
    <t>27-92</t>
  </si>
  <si>
    <t>https://item.rakuten.co.jp/f343072-kumano/27-88/</t>
  </si>
  <si>
    <t>27-88</t>
  </si>
  <si>
    <t>79</t>
  </si>
  <si>
    <t>https://item.rakuten.co.jp/f343072-kumano/27-87/</t>
  </si>
  <si>
    <t>27-87</t>
  </si>
  <si>
    <t>22</t>
  </si>
  <si>
    <t>230</t>
  </si>
  <si>
    <t>https://item.rakuten.co.jp/f343072-kumano/27-85/</t>
  </si>
  <si>
    <t>27-85</t>
  </si>
  <si>
    <t>https://item.rakuten.co.jp/f343072-kumano/27-79/</t>
  </si>
  <si>
    <t>27-79</t>
  </si>
  <si>
    <t>70</t>
  </si>
  <si>
    <t>24</t>
  </si>
  <si>
    <t>https://item.rakuten.co.jp/f343072-kumano/27-188/</t>
  </si>
  <si>
    <t>27-188</t>
  </si>
  <si>
    <t>0.06</t>
  </si>
  <si>
    <t>23</t>
  </si>
  <si>
    <t>https://item.rakuten.co.jp/f343072-kumano/27-167/</t>
  </si>
  <si>
    <t>27-167</t>
  </si>
  <si>
    <t>https://item.rakuten.co.jp/f343072-kumano/27-155/</t>
  </si>
  <si>
    <t>27-155</t>
  </si>
  <si>
    <t>https://item.rakuten.co.jp/f343072-kumano/27-154/</t>
  </si>
  <si>
    <t>27-154</t>
  </si>
  <si>
    <t>0.03</t>
  </si>
  <si>
    <t>https://item.rakuten.co.jp/f343072-kumano/27-152/</t>
  </si>
  <si>
    <t>27-152</t>
  </si>
  <si>
    <t>0.55</t>
  </si>
  <si>
    <t>https://item.rakuten.co.jp/f343072-kumano/27-142/</t>
  </si>
  <si>
    <t>27-142</t>
  </si>
  <si>
    <t>https://item.rakuten.co.jp/f343072-kumano/27-110/</t>
  </si>
  <si>
    <t>27-110</t>
  </si>
  <si>
    <t>0.32</t>
  </si>
  <si>
    <t>5</t>
  </si>
  <si>
    <t>https://item.rakuten.co.jp/f343072-kumano/27-100/</t>
  </si>
  <si>
    <t>27-100</t>
  </si>
  <si>
    <t>https://item.rakuten.co.jp/f343072-kumano/26-61/</t>
  </si>
  <si>
    <t>26-61</t>
  </si>
  <si>
    <t>120</t>
  </si>
  <si>
    <t>https://item.rakuten.co.jp/f343072-kumano/26-59/</t>
  </si>
  <si>
    <t>26-59</t>
  </si>
  <si>
    <t>100</t>
  </si>
  <si>
    <t>https://item.rakuten.co.jp/f343072-kumano/26-51/</t>
  </si>
  <si>
    <t>26-51</t>
  </si>
  <si>
    <t>https://item.rakuten.co.jp/f343072-kumano/26-50/</t>
  </si>
  <si>
    <t>26-50</t>
  </si>
  <si>
    <t>80</t>
  </si>
  <si>
    <t>https://item.rakuten.co.jp/f343072-kumano/25-1/</t>
  </si>
  <si>
    <t>25-1</t>
  </si>
  <si>
    <t>0.27</t>
  </si>
  <si>
    <t>https://item.rakuten.co.jp/f343072-kumano/24-6/</t>
  </si>
  <si>
    <t>24-6</t>
  </si>
  <si>
    <t>https://item.rakuten.co.jp/f343072-kumano/24-5/</t>
  </si>
  <si>
    <t>24-5</t>
  </si>
  <si>
    <t>17</t>
  </si>
  <si>
    <t>170</t>
  </si>
  <si>
    <t>https://item.rakuten.co.jp/f343072-kumano/23-87/</t>
  </si>
  <si>
    <t>23-87</t>
  </si>
  <si>
    <t>0.21</t>
  </si>
  <si>
    <t>https://item.rakuten.co.jp/f343072-kumano/23-7/</t>
  </si>
  <si>
    <t>23-7</t>
  </si>
  <si>
    <t>240</t>
  </si>
  <si>
    <t>https://item.rakuten.co.jp/f343072-kumano/23-60/</t>
  </si>
  <si>
    <t>23-60</t>
  </si>
  <si>
    <t>https://item.rakuten.co.jp/f343072-kumano/23-5/</t>
  </si>
  <si>
    <t>23-5</t>
  </si>
  <si>
    <t>180</t>
  </si>
  <si>
    <t>https://item.rakuten.co.jp/f343072-kumano/23-46/</t>
  </si>
  <si>
    <t>23-46</t>
  </si>
  <si>
    <t>190</t>
  </si>
  <si>
    <t>https://item.rakuten.co.jp/f343072-kumano/23-39/</t>
  </si>
  <si>
    <t>23-39</t>
  </si>
  <si>
    <t>0.16</t>
  </si>
  <si>
    <t>https://item.rakuten.co.jp/f343072-kumano/23-33/</t>
  </si>
  <si>
    <t>23-33</t>
  </si>
  <si>
    <t>0.10</t>
  </si>
  <si>
    <t>https://item.rakuten.co.jp/f343072-kumano/23-26/</t>
  </si>
  <si>
    <t>23-26</t>
  </si>
  <si>
    <t>150</t>
  </si>
  <si>
    <t>https://item.rakuten.co.jp/f343072-kumano/23-18/</t>
  </si>
  <si>
    <t>23-18</t>
  </si>
  <si>
    <t>https://item.rakuten.co.jp/f343072-kumano/23-116/</t>
  </si>
  <si>
    <t>23-116</t>
  </si>
  <si>
    <t>0.25</t>
  </si>
  <si>
    <t>https://item.rakuten.co.jp/f343072-kumano/23-109/</t>
  </si>
  <si>
    <t>23-109</t>
  </si>
  <si>
    <t>https://item.rakuten.co.jp/f343072-kumano/22-9/</t>
  </si>
  <si>
    <t>22-9</t>
  </si>
  <si>
    <t>https://item.rakuten.co.jp/f343072-kumano/22-6/</t>
  </si>
  <si>
    <t>22-6</t>
  </si>
  <si>
    <t>https://item.rakuten.co.jp/f343072-kumano/22-5/</t>
  </si>
  <si>
    <t>22-5</t>
  </si>
  <si>
    <t>https://item.rakuten.co.jp/f343072-kumano/22-37/</t>
  </si>
  <si>
    <t>22-37</t>
  </si>
  <si>
    <t>https://item.rakuten.co.jp/f343072-kumano/22-36/</t>
  </si>
  <si>
    <t>22-36</t>
  </si>
  <si>
    <t>https://item.rakuten.co.jp/f343072-kumano/22-33/</t>
  </si>
  <si>
    <t>22-33</t>
  </si>
  <si>
    <t>https://item.rakuten.co.jp/f343072-kumano/22-27/</t>
  </si>
  <si>
    <t>22-27</t>
  </si>
  <si>
    <t>https://item.rakuten.co.jp/f343072-kumano/22-25/</t>
  </si>
  <si>
    <t>22-25</t>
  </si>
  <si>
    <t>0.46</t>
  </si>
  <si>
    <t>https://item.rakuten.co.jp/f343072-kumano/22-24/</t>
  </si>
  <si>
    <t>22-24</t>
  </si>
  <si>
    <t>https://item.rakuten.co.jp/f343072-kumano/22-23/</t>
  </si>
  <si>
    <t>22-23</t>
  </si>
  <si>
    <t>200</t>
  </si>
  <si>
    <t>https://item.rakuten.co.jp/f343072-kumano/22-22/</t>
  </si>
  <si>
    <t>22-22</t>
  </si>
  <si>
    <t>https://item.rakuten.co.jp/f343072-kumano/22-19/</t>
  </si>
  <si>
    <t>22-19</t>
  </si>
  <si>
    <t>0.45</t>
  </si>
  <si>
    <t>https://item.rakuten.co.jp/f343072-kumano/22-17/</t>
  </si>
  <si>
    <t>22-17</t>
  </si>
  <si>
    <t>https://item.rakuten.co.jp/f343072-kumano/22-16/</t>
  </si>
  <si>
    <t>22-16</t>
  </si>
  <si>
    <t>https://item.rakuten.co.jp/f343072-kumano/22-14/</t>
  </si>
  <si>
    <t>22-14</t>
  </si>
  <si>
    <t>https://item.rakuten.co.jp/f343072-kumano/22-13/</t>
  </si>
  <si>
    <t>22-13</t>
  </si>
  <si>
    <t>https://item.rakuten.co.jp/f343072-kumano/22-12/</t>
  </si>
  <si>
    <t>22-12</t>
  </si>
  <si>
    <t>https://item.rakuten.co.jp/f343072-kumano/22-11/</t>
  </si>
  <si>
    <t>22-11</t>
  </si>
  <si>
    <t>https://item.rakuten.co.jp/f343072-kumano/22-10/</t>
  </si>
  <si>
    <t>22-10</t>
  </si>
  <si>
    <t>https://item.rakuten.co.jp/f343072-kumano/21-75/</t>
  </si>
  <si>
    <t>21-75</t>
  </si>
  <si>
    <t>https://item.rakuten.co.jp/f343072-kumano/21-70/</t>
  </si>
  <si>
    <t>21-70</t>
  </si>
  <si>
    <t>https://item.rakuten.co.jp/f343072-kumano/21-58/</t>
  </si>
  <si>
    <t>21-58</t>
  </si>
  <si>
    <t>https://item.rakuten.co.jp/f343072-kumano/21-51/</t>
  </si>
  <si>
    <t>21-51</t>
  </si>
  <si>
    <t>https://item.rakuten.co.jp/f343072-kumano/21-27/</t>
  </si>
  <si>
    <t>21-27</t>
  </si>
  <si>
    <t>https://item.rakuten.co.jp/f343072-kumano/21-13/</t>
  </si>
  <si>
    <t>21-13</t>
  </si>
  <si>
    <t>https://item.rakuten.co.jp/f343072-kumano/20-1/</t>
  </si>
  <si>
    <t>20-1</t>
  </si>
  <si>
    <t>0.09</t>
  </si>
  <si>
    <t>https://item.rakuten.co.jp/f343072-kumano/19-8/</t>
  </si>
  <si>
    <t>19-8</t>
  </si>
  <si>
    <t>https://item.rakuten.co.jp/f343072-kumano/17-5/</t>
  </si>
  <si>
    <t>17-5</t>
  </si>
  <si>
    <t>https://item.rakuten.co.jp/f343072-kumano/17-4/</t>
  </si>
  <si>
    <t>17-4</t>
  </si>
  <si>
    <t>https://item.rakuten.co.jp/f343072-kumano/17-3/</t>
  </si>
  <si>
    <t>17-3</t>
  </si>
  <si>
    <t>https://item.rakuten.co.jp/f343072-kumano/16-7/</t>
  </si>
  <si>
    <t>16-7</t>
  </si>
  <si>
    <t>https://item.rakuten.co.jp/f343072-kumano/16-21/</t>
  </si>
  <si>
    <t>16-21</t>
  </si>
  <si>
    <t>0.01</t>
  </si>
  <si>
    <t>https://item.rakuten.co.jp/f343072-kumano/16-20/</t>
  </si>
  <si>
    <t>16-20</t>
  </si>
  <si>
    <t>https://item.rakuten.co.jp/f343072-kumano/16-19/</t>
  </si>
  <si>
    <t>16-19</t>
  </si>
  <si>
    <t>250</t>
  </si>
  <si>
    <t>21</t>
  </si>
  <si>
    <t>https://item.rakuten.co.jp/f343072-kumano/16-13/</t>
  </si>
  <si>
    <t>16-13</t>
  </si>
  <si>
    <t>220</t>
  </si>
  <si>
    <t>https://item.rakuten.co.jp/f343072-kumano/16-11/</t>
  </si>
  <si>
    <t>16-11</t>
  </si>
  <si>
    <t>https://item.rakuten.co.jp/f343072-kumano/14-9/</t>
  </si>
  <si>
    <t>14-9</t>
  </si>
  <si>
    <t>https://item.rakuten.co.jp/f343072-kumano/14-50/</t>
  </si>
  <si>
    <t>14-50</t>
  </si>
  <si>
    <t>0.08</t>
  </si>
  <si>
    <t>https://item.rakuten.co.jp/f343072-kumano/14-38/</t>
  </si>
  <si>
    <t>14-38</t>
  </si>
  <si>
    <t>https://item.rakuten.co.jp/f343072-kumano/14-35/</t>
  </si>
  <si>
    <t>14-35</t>
  </si>
  <si>
    <t>https://item.rakuten.co.jp/f343072-kumano/14-33/</t>
  </si>
  <si>
    <t>14-33</t>
  </si>
  <si>
    <t>https://item.rakuten.co.jp/f343072-kumano/14-3/</t>
  </si>
  <si>
    <t>14-3</t>
  </si>
  <si>
    <t>https://item.rakuten.co.jp/f343072-kumano/14-28/</t>
  </si>
  <si>
    <t>14-28</t>
  </si>
  <si>
    <t>https://item.rakuten.co.jp/f343072-kumano/14-21/</t>
  </si>
  <si>
    <t>14-21</t>
  </si>
  <si>
    <t>https://item.rakuten.co.jp/f343072-kumano/14-18/</t>
  </si>
  <si>
    <t>14-18</t>
  </si>
  <si>
    <t>https://item.rakuten.co.jp/f343072-kumano/14-16/</t>
  </si>
  <si>
    <t>14-16</t>
  </si>
  <si>
    <t>https://item.rakuten.co.jp/f343072-kumano/14-13/</t>
  </si>
  <si>
    <t>14-13</t>
  </si>
  <si>
    <t>https://item.rakuten.co.jp/f343072-kumano/14-1/</t>
  </si>
  <si>
    <t>14-1</t>
  </si>
  <si>
    <t>0.18</t>
  </si>
  <si>
    <t>https://item.rakuten.co.jp/f343072-kumano/13-6/</t>
  </si>
  <si>
    <t>13-6</t>
  </si>
  <si>
    <t>https://item.rakuten.co.jp/f343072-kumano/10-3/</t>
  </si>
  <si>
    <t>10-3</t>
  </si>
  <si>
    <t>https://item.rakuten.co.jp/f343072-kumano/10-1/</t>
  </si>
  <si>
    <t>10-1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</si>
  <si>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02月</t>
    </r>
    <r>
      <rPr>
        <sz val="11"/>
        <color theme="1"/>
        <rFont val="Noto Sans CJK SC"/>
        <family val="2"/>
      </rPr>
      <t/>
    </r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</si>
  <si>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12月</t>
    </r>
    <r>
      <rPr>
        <sz val="11"/>
        <color theme="1"/>
        <rFont val="Noto Sans CJK SC"/>
        <family val="2"/>
      </rPr>
      <t/>
    </r>
  </si>
  <si>
    <t>クリック数(合計)</t>
  </si>
  <si>
    <t>実績額(合計)</t>
  </si>
  <si>
    <t>CPC実績(合計)</t>
  </si>
  <si>
    <t>クリック数(新規)</t>
  </si>
  <si>
    <t>実績額(新規)</t>
  </si>
  <si>
    <t>CPC実績(新規)</t>
  </si>
  <si>
    <t>クリック数(既存)</t>
  </si>
  <si>
    <t>実績額(既存)</t>
  </si>
  <si>
    <t>CPC実績(既存)</t>
  </si>
  <si>
    <t>売上金額(合計12時間)</t>
  </si>
  <si>
    <t>売上件数(合計12時間)</t>
  </si>
  <si>
    <t>CVR(合計12時間)(%)</t>
  </si>
  <si>
    <t>ROAS(合計12時間)(%)</t>
  </si>
  <si>
    <t>注文獲得単価(合計12時間)</t>
  </si>
  <si>
    <t>売上金額(合計720時間)</t>
  </si>
  <si>
    <t>売上件数(合計720時間)</t>
  </si>
  <si>
    <t>CVR(合計720時間)(%)</t>
  </si>
  <si>
    <t>ROAS(合計720時間)(%)</t>
  </si>
  <si>
    <t>注文獲得単価(合計720時間)</t>
  </si>
  <si>
    <t>売上金額(新規12時間)</t>
  </si>
  <si>
    <t>売上件数(新規12時間)</t>
  </si>
  <si>
    <t>CVR(新規12時間)(%)</t>
  </si>
  <si>
    <t>ROAS(新規12時間)(%)</t>
  </si>
  <si>
    <t>注文獲得単価(新規12時間)</t>
  </si>
  <si>
    <t>売上金額(新規720時間)</t>
  </si>
  <si>
    <t>売上件数(新規720時間)</t>
  </si>
  <si>
    <t>CVR(新規720時間)(%)</t>
  </si>
  <si>
    <t>ROAS(新規720時間)(%)</t>
  </si>
  <si>
    <t>注文獲得単価(新規720時間)</t>
  </si>
  <si>
    <t>売上金額(既存12時間)</t>
  </si>
  <si>
    <t>売上件数(既存12時間)</t>
  </si>
  <si>
    <t>CVR(既存12時間)(%)</t>
  </si>
  <si>
    <t>ROAS(既存12時間)(%)</t>
  </si>
  <si>
    <t>注文獲得単価(既存12時間)</t>
  </si>
  <si>
    <t>売上金額(既存720時間)</t>
  </si>
  <si>
    <t>売上件数(既存720時間)</t>
  </si>
  <si>
    <t>CVR(既存720時間)(%)</t>
  </si>
  <si>
    <t>ROAS(既存720時間)(%)</t>
  </si>
  <si>
    <t>注文獲得単価(既存720時間)</t>
  </si>
  <si>
    <t>商品ページURL</t>
  </si>
  <si>
    <t>商品CPC</t>
  </si>
  <si>
    <t>https://item.rakuten.co.jp/f343072-kumano/49-8/</t>
  </si>
  <si>
    <t>49-8</t>
  </si>
  <si>
    <t>https://item.rakuten.co.jp/f343072-kumano/49-7/</t>
  </si>
  <si>
    <t>49-7</t>
  </si>
  <si>
    <t>50000</t>
  </si>
  <si>
    <t>100.00</t>
  </si>
  <si>
    <t>250000.00</t>
  </si>
  <si>
    <t>https://item.rakuten.co.jp/f343072-kumano/49-16/</t>
  </si>
  <si>
    <t>49-16</t>
  </si>
  <si>
    <t>130</t>
  </si>
  <si>
    <t>https://item.rakuten.co.jp/f343072-kumano/49-10/</t>
  </si>
  <si>
    <t>49-10</t>
  </si>
  <si>
    <t>32</t>
  </si>
  <si>
    <t>330</t>
  </si>
  <si>
    <t>15000</t>
  </si>
  <si>
    <t>5.88</t>
  </si>
  <si>
    <t>35000</t>
  </si>
  <si>
    <t>https://item.rakuten.co.jp/f343072-kumano/45-13/</t>
  </si>
  <si>
    <t>45-13</t>
  </si>
  <si>
    <t>https://item.rakuten.co.jp/f343072-kumano/42-3/</t>
  </si>
  <si>
    <t>42-3</t>
  </si>
  <si>
    <t>https://item.rakuten.co.jp/f343072-kumano/40-1/</t>
  </si>
  <si>
    <t>40-1</t>
  </si>
  <si>
    <t>https://item.rakuten.co.jp/f343072-kumano/29-21/</t>
  </si>
  <si>
    <t>29-21</t>
  </si>
  <si>
    <t>0.20</t>
  </si>
  <si>
    <t>0.31</t>
  </si>
  <si>
    <t>https://item.rakuten.co.jp/f343072-kumano/29-16/</t>
  </si>
  <si>
    <t>29-16</t>
  </si>
  <si>
    <t>https://item.rakuten.co.jp/f343072-kumano/29-15/</t>
  </si>
  <si>
    <t>29-15</t>
  </si>
  <si>
    <t>85</t>
  </si>
  <si>
    <t>83</t>
  </si>
  <si>
    <t>33</t>
  </si>
  <si>
    <t>https://item.rakuten.co.jp/f343072-kumano/28-5/</t>
  </si>
  <si>
    <t>28-5</t>
  </si>
  <si>
    <t>48</t>
  </si>
  <si>
    <t>https://item.rakuten.co.jp/f343072-kumano/28-15/</t>
  </si>
  <si>
    <t>28-15</t>
  </si>
  <si>
    <t>0.40</t>
  </si>
  <si>
    <t>140</t>
  </si>
  <si>
    <t>25</t>
  </si>
  <si>
    <t>260</t>
  </si>
  <si>
    <t>0.14</t>
  </si>
  <si>
    <t>0.24</t>
  </si>
  <si>
    <t>0.51</t>
  </si>
  <si>
    <t>https://item.rakuten.co.jp/f343072-kumano/26-46/</t>
  </si>
  <si>
    <t>26-46</t>
  </si>
  <si>
    <t>https://item.rakuten.co.jp/f343072-kumano/26-36/</t>
  </si>
  <si>
    <t>26-36</t>
  </si>
  <si>
    <t>https://item.rakuten.co.jp/f343072-kumano/25-2/</t>
  </si>
  <si>
    <t>25-2</t>
  </si>
  <si>
    <t>50.00</t>
  </si>
  <si>
    <t>37500.00</t>
  </si>
  <si>
    <t>75000.00</t>
  </si>
  <si>
    <t>https://item.rakuten.co.jp/f343072-kumano/23-78/</t>
  </si>
  <si>
    <t>23-78</t>
  </si>
  <si>
    <t>26</t>
  </si>
  <si>
    <t>28</t>
  </si>
  <si>
    <t>280</t>
  </si>
  <si>
    <t>https://item.rakuten.co.jp/f343072-kumano/23-40/</t>
  </si>
  <si>
    <t>23-40</t>
  </si>
  <si>
    <t>0.12</t>
  </si>
  <si>
    <t>0.13</t>
  </si>
  <si>
    <t>69</t>
  </si>
  <si>
    <t>https://item.rakuten.co.jp/f343072-kumano/23-22/</t>
  </si>
  <si>
    <t>23-22</t>
  </si>
  <si>
    <t>https://item.rakuten.co.jp/f343072-kumano/23-20/</t>
  </si>
  <si>
    <t>23-20</t>
  </si>
  <si>
    <t>https://item.rakuten.co.jp/f343072-kumano/23-124/</t>
  </si>
  <si>
    <t>23-124</t>
  </si>
  <si>
    <t>https://item.rakuten.co.jp/f343072-kumano/23-119/</t>
  </si>
  <si>
    <t>23-119</t>
  </si>
  <si>
    <t>https://item.rakuten.co.jp/f343072-kumano/23-1/</t>
  </si>
  <si>
    <t>23-1</t>
  </si>
  <si>
    <t>https://item.rakuten.co.jp/f343072-kumano/22-8/</t>
  </si>
  <si>
    <t>22-8</t>
  </si>
  <si>
    <t>https://item.rakuten.co.jp/f343072-kumano/22-7/</t>
  </si>
  <si>
    <t>22-7</t>
  </si>
  <si>
    <t>https://item.rakuten.co.jp/f343072-kumano/22-35/</t>
  </si>
  <si>
    <t>22-35</t>
  </si>
  <si>
    <t>https://item.rakuten.co.jp/f343072-kumano/22-34/</t>
  </si>
  <si>
    <t>22-34</t>
  </si>
  <si>
    <t>https://item.rakuten.co.jp/f343072-kumano/22-31/</t>
  </si>
  <si>
    <t>22-31</t>
  </si>
  <si>
    <t>27</t>
  </si>
  <si>
    <t>270</t>
  </si>
  <si>
    <t>38</t>
  </si>
  <si>
    <t>390</t>
  </si>
  <si>
    <t>https://item.rakuten.co.jp/f343072-kumano/22-1/</t>
  </si>
  <si>
    <t>22-1</t>
  </si>
  <si>
    <t>https://item.rakuten.co.jp/f343072-kumano/21-55/</t>
  </si>
  <si>
    <t>21-55</t>
  </si>
  <si>
    <t>31</t>
  </si>
  <si>
    <t>320</t>
  </si>
  <si>
    <t>29</t>
  </si>
  <si>
    <t>300</t>
  </si>
  <si>
    <t>https://item.rakuten.co.jp/f343072-kumano/17-1/</t>
  </si>
  <si>
    <t>17-1</t>
  </si>
  <si>
    <t>https://item.rakuten.co.jp/f343072-kumano/16-5/</t>
  </si>
  <si>
    <t>16-5</t>
  </si>
  <si>
    <t>310</t>
  </si>
  <si>
    <t>https://item.rakuten.co.jp/f343072-kumano/14-14/</t>
  </si>
  <si>
    <t>14-14</t>
  </si>
  <si>
    <t>0.42</t>
  </si>
  <si>
    <t>0.34</t>
  </si>
  <si>
    <t>https://item.rakuten.co.jp/f343072-kumano/11-1/</t>
  </si>
  <si>
    <t>11-1</t>
  </si>
  <si>
    <t>梶山</t>
    <rPh sb="0" eb="2">
      <t>カジヤマ</t>
    </rPh>
    <phoneticPr fontId="4"/>
  </si>
  <si>
    <t>月額予算50000円</t>
    <rPh sb="0" eb="2">
      <t>ゲツガク</t>
    </rPh>
    <rPh sb="2" eb="4">
      <t>ヨサン</t>
    </rPh>
    <rPh sb="9" eb="10">
      <t>エン</t>
    </rPh>
    <phoneticPr fontId="4"/>
  </si>
  <si>
    <t>キーワード追加</t>
    <phoneticPr fontId="4"/>
  </si>
  <si>
    <t>商品URL</t>
  </si>
  <si>
    <t>除外登録済み商品</t>
  </si>
  <si>
    <t>【ふるさと納税】熊野化粧筆　SHAQUDA　ジーヴァ　ボディブラシ　ソフト　熊野筆　洗顔</t>
  </si>
  <si>
    <t>100000</t>
  </si>
  <si>
    <t>【ふるさと納税】熊野化粧筆　Zシリーズ１０点セット　メイクブラシ　熊野筆　化粧筆 　パウダー　ハイライト　カンター　チーク　アイシャドー　アイブロー　リップ　ブレンディング　化粧筆セット　化粧ブラシ</t>
  </si>
  <si>
    <t>270000</t>
  </si>
  <si>
    <t>【ふるさと納税】白鳳堂　化粧筆3本セット　メイクブラシ</t>
  </si>
  <si>
    <t>55000</t>
  </si>
  <si>
    <t>【ふるさと納税】熊野化粧筆　律フルセット＆ケース（ピンク）　メイクブラシ　熊野筆　化粧筆</t>
  </si>
  <si>
    <t>20000</t>
  </si>
  <si>
    <t>【ふるさと納税】熊野化粧筆　Zシリーズ６点セット　メイクブラシ　熊野筆　化粧筆　パウダー　チーク　ハイライト　アイシャドー　アイブロー　リップ　化粧筆セット　化粧ブラシ</t>
  </si>
  <si>
    <t>130000</t>
  </si>
  <si>
    <t>【ふるさと納税】熊野化粧筆　凪フルセット＆ケース　メイクブラシ　熊野筆　化粧筆</t>
  </si>
  <si>
    <t>【ふるさと納税】熊野化粧筆　N-Line 熊野筆5本セット　熊野筆　メイクブラシ　化粧筆　ケース</t>
  </si>
  <si>
    <t>30000</t>
  </si>
  <si>
    <t>【ふるさと納税】熊野化粧筆　凛3本セット　メイクブラシ　熊野筆　化粧筆</t>
  </si>
  <si>
    <t>40000</t>
  </si>
  <si>
    <t>【ふるさと納税】 熊野化粧筆　アイメイクセット　メイクブラシ　熊野筆　化粧筆</t>
  </si>
  <si>
    <t>【ふるさと納税】 熊野化粧筆　フェイスパウダー筆　メイクブラシ　熊野筆　化粧筆</t>
  </si>
  <si>
    <t>10000</t>
  </si>
  <si>
    <t>キーワードCPC</t>
  </si>
  <si>
    <t>目安CPC</t>
  </si>
  <si>
    <t>新規登録</t>
    <phoneticPr fontId="4"/>
  </si>
  <si>
    <r>
      <t>RPP</t>
    </r>
    <r>
      <rPr>
        <sz val="10"/>
        <color theme="1"/>
        <rFont val="ＭＳ Ｐゴシック"/>
        <family val="2"/>
        <charset val="128"/>
      </rPr>
      <t>広告運用開始</t>
    </r>
    <rPh sb="3" eb="9">
      <t>コウコクウンヨウカイシ</t>
    </rPh>
    <phoneticPr fontId="4"/>
  </si>
  <si>
    <r>
      <t>CPC30</t>
    </r>
    <r>
      <rPr>
        <sz val="10"/>
        <color theme="1"/>
        <rFont val="游ゴシック"/>
        <family val="2"/>
        <charset val="128"/>
      </rPr>
      <t>円</t>
    </r>
    <rPh sb="5" eb="6">
      <t>エン</t>
    </rPh>
    <phoneticPr fontId="4"/>
  </si>
  <si>
    <r>
      <rPr>
        <sz val="10"/>
        <color theme="1"/>
        <rFont val="ＭＳ Ｐゴシック"/>
        <family val="2"/>
        <charset val="128"/>
      </rPr>
      <t>キーワード</t>
    </r>
    <r>
      <rPr>
        <sz val="10"/>
        <color theme="1"/>
        <rFont val="Calibri"/>
        <family val="2"/>
      </rPr>
      <t>CPC 40</t>
    </r>
    <r>
      <rPr>
        <sz val="10"/>
        <color theme="1"/>
        <rFont val="ＭＳ Ｐゴシック"/>
        <family val="2"/>
        <charset val="128"/>
      </rPr>
      <t>円</t>
    </r>
    <rPh sb="11" eb="12">
      <t>エン</t>
    </rPh>
    <phoneticPr fontId="4"/>
  </si>
  <si>
    <t>指標</t>
    <phoneticPr fontId="4"/>
  </si>
  <si>
    <t>CTR平均(%)</t>
  </si>
  <si>
    <r>
      <rPr>
        <sz val="11"/>
        <color theme="1"/>
        <rFont val="游ゴシック"/>
        <family val="2"/>
        <charset val="128"/>
      </rPr>
      <t>クリック数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游ゴシック"/>
        <family val="2"/>
        <charset val="128"/>
      </rPr>
      <t>合計</t>
    </r>
    <r>
      <rPr>
        <sz val="11"/>
        <color theme="1"/>
        <rFont val="Calibri"/>
        <family val="2"/>
        <charset val="1"/>
      </rPr>
      <t>)</t>
    </r>
    <phoneticPr fontId="4"/>
  </si>
  <si>
    <r>
      <rPr>
        <sz val="11"/>
        <color theme="1"/>
        <rFont val="游ゴシック"/>
        <family val="2"/>
        <charset val="128"/>
      </rPr>
      <t>実績額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游ゴシック"/>
        <family val="2"/>
        <charset val="128"/>
      </rPr>
      <t>合計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MS UI Gothic"/>
        <family val="2"/>
        <charset val="1"/>
      </rPr>
      <t>※</t>
    </r>
    <r>
      <rPr>
        <sz val="11"/>
        <color theme="1"/>
        <rFont val="MS UI Gothic"/>
        <family val="2"/>
        <charset val="128"/>
      </rPr>
      <t>広告費として使用</t>
    </r>
    <phoneticPr fontId="4"/>
  </si>
  <si>
    <r>
      <rPr>
        <sz val="11"/>
        <color theme="1"/>
        <rFont val="游ゴシック"/>
        <family val="2"/>
        <charset val="128"/>
      </rPr>
      <t>売上金額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</rPr>
      <t>合計</t>
    </r>
    <r>
      <rPr>
        <sz val="11"/>
        <color theme="1"/>
        <rFont val="Calibri"/>
        <family val="2"/>
      </rPr>
      <t>720</t>
    </r>
    <r>
      <rPr>
        <sz val="11"/>
        <color theme="1"/>
        <rFont val="游ゴシック"/>
        <family val="2"/>
        <charset val="128"/>
      </rPr>
      <t>時間</t>
    </r>
    <r>
      <rPr>
        <sz val="11"/>
        <color theme="1"/>
        <rFont val="Calibri"/>
        <family val="2"/>
      </rPr>
      <t>)</t>
    </r>
    <phoneticPr fontId="4"/>
  </si>
  <si>
    <r>
      <rPr>
        <sz val="11"/>
        <color theme="1"/>
        <rFont val="游ゴシック"/>
        <family val="2"/>
        <charset val="128"/>
      </rPr>
      <t>売上件数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</rPr>
      <t>合計</t>
    </r>
    <r>
      <rPr>
        <sz val="11"/>
        <color theme="1"/>
        <rFont val="Calibri"/>
        <family val="2"/>
      </rPr>
      <t>720</t>
    </r>
    <r>
      <rPr>
        <sz val="11"/>
        <color theme="1"/>
        <rFont val="游ゴシック"/>
        <family val="2"/>
        <charset val="128"/>
      </rPr>
      <t>時間</t>
    </r>
    <r>
      <rPr>
        <sz val="11"/>
        <color theme="1"/>
        <rFont val="Calibri"/>
        <family val="2"/>
      </rPr>
      <t>)</t>
    </r>
    <phoneticPr fontId="4"/>
  </si>
  <si>
    <r>
      <t>CVR(</t>
    </r>
    <r>
      <rPr>
        <sz val="11"/>
        <color theme="1"/>
        <rFont val="游ゴシック"/>
        <family val="2"/>
        <charset val="128"/>
      </rPr>
      <t>合計</t>
    </r>
    <r>
      <rPr>
        <sz val="11"/>
        <color theme="1"/>
        <rFont val="Calibri"/>
        <family val="2"/>
      </rPr>
      <t xml:space="preserve">)(%) </t>
    </r>
    <r>
      <rPr>
        <sz val="11"/>
        <color theme="1"/>
        <rFont val="MS UI Gothic"/>
        <family val="2"/>
        <charset val="1"/>
      </rPr>
      <t>※</t>
    </r>
    <r>
      <rPr>
        <sz val="11"/>
        <color theme="1"/>
        <rFont val="MS UI Gothic"/>
        <family val="2"/>
        <charset val="128"/>
      </rPr>
      <t>月次で再計算</t>
    </r>
    <phoneticPr fontId="4"/>
  </si>
  <si>
    <r>
      <t>ROAS(</t>
    </r>
    <r>
      <rPr>
        <sz val="11"/>
        <color theme="1"/>
        <rFont val="游ゴシック"/>
        <family val="2"/>
        <charset val="128"/>
      </rPr>
      <t>合計</t>
    </r>
    <r>
      <rPr>
        <sz val="11"/>
        <color theme="1"/>
        <rFont val="Calibri"/>
        <family val="2"/>
      </rPr>
      <t xml:space="preserve">)(%) </t>
    </r>
    <r>
      <rPr>
        <sz val="11"/>
        <color theme="1"/>
        <rFont val="MS UI Gothic"/>
        <family val="2"/>
        <charset val="1"/>
      </rPr>
      <t>※</t>
    </r>
    <r>
      <rPr>
        <sz val="11"/>
        <color theme="1"/>
        <rFont val="MS UI Gothic"/>
        <family val="2"/>
        <charset val="128"/>
      </rPr>
      <t>月次で再計算</t>
    </r>
    <phoneticPr fontId="4"/>
  </si>
  <si>
    <r>
      <rPr>
        <sz val="11"/>
        <color theme="1"/>
        <rFont val="游ゴシック"/>
        <family val="2"/>
        <charset val="128"/>
      </rPr>
      <t>売上金額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</rPr>
      <t>新規</t>
    </r>
    <r>
      <rPr>
        <sz val="11"/>
        <color theme="1"/>
        <rFont val="Calibri"/>
        <family val="2"/>
      </rPr>
      <t>720</t>
    </r>
    <r>
      <rPr>
        <sz val="11"/>
        <color theme="1"/>
        <rFont val="游ゴシック"/>
        <family val="2"/>
        <charset val="128"/>
      </rPr>
      <t>時間</t>
    </r>
    <r>
      <rPr>
        <sz val="11"/>
        <color theme="1"/>
        <rFont val="Calibri"/>
        <family val="2"/>
      </rPr>
      <t>)</t>
    </r>
    <phoneticPr fontId="4"/>
  </si>
  <si>
    <r>
      <rPr>
        <sz val="11"/>
        <color theme="1"/>
        <rFont val="游ゴシック"/>
        <family val="2"/>
        <charset val="128"/>
      </rPr>
      <t>売上件数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</rPr>
      <t>新規</t>
    </r>
    <r>
      <rPr>
        <sz val="11"/>
        <color theme="1"/>
        <rFont val="Calibri"/>
        <family val="2"/>
      </rPr>
      <t>720</t>
    </r>
    <r>
      <rPr>
        <sz val="11"/>
        <color theme="1"/>
        <rFont val="游ゴシック"/>
        <family val="2"/>
        <charset val="128"/>
      </rPr>
      <t>時間</t>
    </r>
    <r>
      <rPr>
        <sz val="11"/>
        <color theme="1"/>
        <rFont val="Calibri"/>
        <family val="2"/>
      </rPr>
      <t>)</t>
    </r>
    <phoneticPr fontId="4"/>
  </si>
  <si>
    <r>
      <rPr>
        <sz val="11"/>
        <color theme="1"/>
        <rFont val="游ゴシック"/>
        <family val="2"/>
        <charset val="128"/>
      </rPr>
      <t>売上金額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</rPr>
      <t>既存</t>
    </r>
    <r>
      <rPr>
        <sz val="11"/>
        <color theme="1"/>
        <rFont val="Calibri"/>
        <family val="2"/>
      </rPr>
      <t>720</t>
    </r>
    <r>
      <rPr>
        <sz val="11"/>
        <color theme="1"/>
        <rFont val="游ゴシック"/>
        <family val="2"/>
        <charset val="128"/>
      </rPr>
      <t>時間</t>
    </r>
    <r>
      <rPr>
        <sz val="11"/>
        <color theme="1"/>
        <rFont val="Calibri"/>
        <family val="2"/>
      </rPr>
      <t>)</t>
    </r>
    <phoneticPr fontId="4"/>
  </si>
  <si>
    <r>
      <rPr>
        <sz val="11"/>
        <color theme="1"/>
        <rFont val="游ゴシック"/>
        <family val="2"/>
        <charset val="128"/>
      </rPr>
      <t>売上件数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</rPr>
      <t>既存</t>
    </r>
    <r>
      <rPr>
        <sz val="11"/>
        <color theme="1"/>
        <rFont val="Calibri"/>
        <family val="2"/>
      </rPr>
      <t>720</t>
    </r>
    <r>
      <rPr>
        <sz val="11"/>
        <color theme="1"/>
        <rFont val="游ゴシック"/>
        <family val="2"/>
        <charset val="128"/>
      </rPr>
      <t>時間</t>
    </r>
    <r>
      <rPr>
        <sz val="11"/>
        <color theme="1"/>
        <rFont val="Calibri"/>
        <family val="2"/>
      </rPr>
      <t>)</t>
    </r>
    <phoneticPr fontId="4"/>
  </si>
  <si>
    <r>
      <rPr>
        <sz val="11"/>
        <color theme="1"/>
        <rFont val="游ゴシック"/>
        <family val="2"/>
        <charset val="128"/>
      </rPr>
      <t>新規比率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</rPr>
      <t>金額</t>
    </r>
    <r>
      <rPr>
        <sz val="11"/>
        <color theme="1"/>
        <rFont val="Calibri"/>
        <family val="2"/>
      </rPr>
      <t>)</t>
    </r>
    <phoneticPr fontId="4"/>
  </si>
  <si>
    <r>
      <rPr>
        <sz val="11"/>
        <color theme="1"/>
        <rFont val="游ゴシック"/>
        <family val="2"/>
        <charset val="128"/>
      </rPr>
      <t>新規比率</t>
    </r>
    <r>
      <rPr>
        <sz val="11"/>
        <color theme="1"/>
        <rFont val="Calibri"/>
        <family val="2"/>
      </rPr>
      <t>(</t>
    </r>
    <r>
      <rPr>
        <sz val="11"/>
        <color theme="1"/>
        <rFont val="游ゴシック"/>
        <family val="2"/>
        <charset val="128"/>
      </rPr>
      <t>件数</t>
    </r>
    <r>
      <rPr>
        <sz val="11"/>
        <color theme="1"/>
        <rFont val="Calibri"/>
        <family val="2"/>
      </rPr>
      <t>)</t>
    </r>
    <phoneticPr fontId="4"/>
  </si>
  <si>
    <t>売上</t>
  </si>
  <si>
    <t>アクセス人数</t>
  </si>
  <si>
    <t>転換率</t>
  </si>
  <si>
    <t>客単価</t>
  </si>
  <si>
    <t>商品番号</t>
  </si>
  <si>
    <t>平均単価</t>
  </si>
  <si>
    <t>売上個数</t>
  </si>
  <si>
    <t>売上件数</t>
  </si>
  <si>
    <t>106</t>
  </si>
  <si>
    <t>5300000</t>
  </si>
  <si>
    <t>105</t>
  </si>
  <si>
    <t>345</t>
  </si>
  <si>
    <t>5175000</t>
  </si>
  <si>
    <t>343</t>
  </si>
  <si>
    <t>127</t>
  </si>
  <si>
    <t>5080000</t>
  </si>
  <si>
    <t>126</t>
  </si>
  <si>
    <t>151</t>
  </si>
  <si>
    <t>4530000</t>
  </si>
  <si>
    <t>149</t>
  </si>
  <si>
    <t>【ふるさと納税】熊野化粧筆　ROYAL7本＆ブラシケースセット　ケース：ブラック　熊野筆　メイクブラシ　化粧筆　ケース</t>
  </si>
  <si>
    <t>45-17</t>
  </si>
  <si>
    <t>86</t>
  </si>
  <si>
    <t>3010000</t>
  </si>
  <si>
    <t>【ふるさと納税】白鳳堂　化粧筆　ベーシック5本Aセット　メイクブラシ</t>
  </si>
  <si>
    <t>46-07</t>
  </si>
  <si>
    <t>80000</t>
  </si>
  <si>
    <t>2400000</t>
  </si>
  <si>
    <t>46-04</t>
  </si>
  <si>
    <t>57</t>
  </si>
  <si>
    <t>2280000</t>
  </si>
  <si>
    <t>【ふるさと納税】 熊野化粧筆　ポイントメイクセット　メイクブラシ　熊野筆　化粧筆</t>
  </si>
  <si>
    <t>74</t>
  </si>
  <si>
    <t>2220000</t>
  </si>
  <si>
    <t>73</t>
  </si>
  <si>
    <t>209</t>
  </si>
  <si>
    <t>2090000</t>
  </si>
  <si>
    <t>208</t>
  </si>
  <si>
    <t>【ふるさと納税】白鳳堂　化粧筆　黒檀8本セット　メイクブラシ</t>
  </si>
  <si>
    <t>46-11</t>
  </si>
  <si>
    <t>330000</t>
  </si>
  <si>
    <t>1980000</t>
  </si>
  <si>
    <t>1950000</t>
  </si>
  <si>
    <t>【ふるさと納税】熊野化粧筆　ROYAL7本＆ブラシケースセット　ケース：ピンク　熊野筆　メイクブラシ　化粧筆　ケース</t>
  </si>
  <si>
    <t>45-16</t>
  </si>
  <si>
    <t>47</t>
  </si>
  <si>
    <t>1645000</t>
  </si>
  <si>
    <t>1620000</t>
  </si>
  <si>
    <t>【ふるさと納税】熊野化粧筆　ホワイト軸アイメイク4本セット　メイクブラシ　熊野筆　化粧筆</t>
  </si>
  <si>
    <t>23-23</t>
  </si>
  <si>
    <t>25000</t>
  </si>
  <si>
    <t>64</t>
  </si>
  <si>
    <t>1600000</t>
  </si>
  <si>
    <t>【ふるさと納税】熊野化粧筆　豊玉姫アイメイク3本　メイクブラシ　熊野筆　化粧筆</t>
  </si>
  <si>
    <t>1460000</t>
  </si>
  <si>
    <t>【ふるさと納税】熊野化粧筆　パーフェクト6本セット　メイクブラシ　熊野筆　化粧筆</t>
  </si>
  <si>
    <t>45000</t>
  </si>
  <si>
    <t>1350000</t>
  </si>
  <si>
    <t>【ふるさと納税】熊野化粧筆　律フルセット＆ケース　クロラメ　メイクブラシ　熊野筆　化粧筆</t>
  </si>
  <si>
    <t>27-61</t>
  </si>
  <si>
    <t>66</t>
  </si>
  <si>
    <t>1320000</t>
  </si>
  <si>
    <t>【ふるさと納税】熊野化粧筆　Zシリーズ４点セット　メイクブラシ　熊野筆　化粧筆　パウダー　チーク　ハイライト　アイシャドー　リップ　化粧筆セット　化粧ブラシ</t>
  </si>
  <si>
    <t>26-43</t>
  </si>
  <si>
    <t>105000</t>
  </si>
  <si>
    <t>1260000</t>
  </si>
  <si>
    <t>【ふるさと納税】熊野化粧筆　リキッドファンデーションブラシ ブラック　メイクブラシ　熊野筆　化粧筆</t>
  </si>
  <si>
    <t>61</t>
  </si>
  <si>
    <t>1220000</t>
  </si>
  <si>
    <t>【ふるさと納税】熊野化粧筆　FOシリーズ５点セット　メイクブラシ　熊野筆　化粧筆　シルバーフォックス　パウダー　チーク　アイシャドー　シャドーライナー　化粧筆セット　化粧ブラシ</t>
  </si>
  <si>
    <t>26-45</t>
  </si>
  <si>
    <t>135000</t>
  </si>
  <si>
    <t>1215000</t>
  </si>
  <si>
    <t>【ふるさと納税】熊野化粧筆　携帯チークブラシ(H-6) 　ギフト箱付き　メイクブラシ　熊野筆　化粧筆</t>
  </si>
  <si>
    <t>26-37</t>
  </si>
  <si>
    <t>77</t>
  </si>
  <si>
    <t>1155000</t>
  </si>
  <si>
    <t>55</t>
  </si>
  <si>
    <t>1100000</t>
  </si>
  <si>
    <t>【ふるさと納税】熊野化粧筆　咲fude 5本セット　メイクブラシ　熊野筆　化粧筆</t>
  </si>
  <si>
    <t>1080000</t>
  </si>
  <si>
    <t>【ふるさと納税】熊野化粧筆　SSマストアイテムセット　メイクブラシ　熊野筆　化粧筆</t>
  </si>
  <si>
    <t>16-9</t>
  </si>
  <si>
    <t>1040000</t>
  </si>
  <si>
    <t>【ふるさと納税】白鳳堂　化粧筆　ふんわりメイク7本セット　メイクブラシ</t>
  </si>
  <si>
    <t>46-16</t>
  </si>
  <si>
    <t>260000</t>
  </si>
  <si>
    <t>1000000</t>
  </si>
  <si>
    <t>【ふるさと納税】熊野化粧筆 【クール ジャパン フェスティバル】ホワイトパール5本セット BW-8　メイクブラシ　　熊野筆　化粧筆</t>
  </si>
  <si>
    <t>950000</t>
  </si>
  <si>
    <t>【ふるさと納税】熊野化粧筆　　灰リス100%ブラシ2本セット(パウダー・チーク)　メイクブラシ　熊野筆　化粧筆</t>
  </si>
  <si>
    <t>75000</t>
  </si>
  <si>
    <t>900000</t>
  </si>
  <si>
    <t>【ふるさと納税】熊野化粧筆　宙プレミアムブラシ8本＆ケース　メイクブラシ　熊野筆　化粧筆</t>
  </si>
  <si>
    <t>27-157</t>
  </si>
  <si>
    <t>150000</t>
  </si>
  <si>
    <t>【ふるさと納税】熊野化粧筆　宙プレミアムリス毛3本セット　メイクブラシ　熊野筆　化粧筆　灰リス　リス</t>
  </si>
  <si>
    <t>27-105</t>
  </si>
  <si>
    <t>880000</t>
  </si>
  <si>
    <t>【ふるさと納税】熊野化粧筆 メイクブラシ デラックス・７本セット ホワイトパール[ショート軸タイプ]　メイクブラシ　熊野筆　化粧筆</t>
  </si>
  <si>
    <t>22-26</t>
  </si>
  <si>
    <t>【ふるさと納税】熊野化粧筆　パウダーブラシ　黒　メイクブラシ　熊野筆　化粧筆</t>
  </si>
  <si>
    <t>26-34</t>
  </si>
  <si>
    <t>【ふるさと納税】熊野化粧筆　SS1-4パウダー　粗光峰　メイクブラシ　熊野筆　化粧筆</t>
  </si>
  <si>
    <t>35</t>
  </si>
  <si>
    <t>875000</t>
  </si>
  <si>
    <t>【ふるさと納税】熊野化粧筆　携帯3本セット(携帯用パウダー、チーク、シャドーライナー)　メイクブラシ　熊野筆　化粧筆</t>
  </si>
  <si>
    <t>【ふるさと納税】熊野化粧筆　宙高級リス毛3本セット　メイクブラシ　熊野筆　化粧筆</t>
  </si>
  <si>
    <t>65000</t>
  </si>
  <si>
    <t>845000</t>
  </si>
  <si>
    <t>【ふるさと納税】熊野化粧筆　CHERRY5本＆ブラシケースセット　ケース：ピンク　熊野筆　メイクブラシ　化粧筆　5本セット　ケース</t>
  </si>
  <si>
    <t>45-10</t>
  </si>
  <si>
    <t>42</t>
  </si>
  <si>
    <t>840000</t>
  </si>
  <si>
    <t>【ふるさと納税】熊野化粧筆 ホワイトパール2本セット MW-95　メイクブラシ　熊野筆　化粧筆</t>
  </si>
  <si>
    <t>825000</t>
  </si>
  <si>
    <t>【ふるさと納税】熊野化粧筆　Passionシリーズ　アイメイクセット　メイクブラシ　熊野筆　化粧筆　ふるさと納税限定セット　アイシャドー　シャドーライナー　化粧筆セット　化粧ブラシ</t>
  </si>
  <si>
    <t>800000</t>
  </si>
  <si>
    <t>【ふるさと納税】熊野化粧筆　萌フルセット＆ケース　メイクブラシ　熊野筆　化粧筆</t>
  </si>
  <si>
    <t>【ふるさと納税】熊野化粧筆　FOシリーズ４点セット　メイクブラシ　熊野筆　化粧筆　シルバーフォックス　パウダー　チーク　ハイライト　アイシャドー　化粧筆セット　化粧ブラシ</t>
  </si>
  <si>
    <t>735000</t>
  </si>
  <si>
    <t>【ふるさと納税】熊野化粧筆 レッドパール2本セット　BR-95　メイクブラシ　熊野筆　化粧筆</t>
  </si>
  <si>
    <t>725000</t>
  </si>
  <si>
    <t>【ふるさと納税】白鳳堂　化粧筆　J110　チーク　丸平　メイクブラシ</t>
  </si>
  <si>
    <t>46-02</t>
  </si>
  <si>
    <t>700000</t>
  </si>
  <si>
    <t>【ふるさと納税】熊野化粧筆　CHERRY5本＆ブラシケースセット　ケース：ブラック　熊野筆　メイクブラシ　化粧筆　5本セット　ケース</t>
  </si>
  <si>
    <t>45-11</t>
  </si>
  <si>
    <t>【ふるさと納税】熊野化粧筆　大人気萌アイメイク2本セット　メイクブラシ　熊野筆　化粧筆</t>
  </si>
  <si>
    <t>【ふるさと納税】白鳳堂　化粧筆　スターター5本セット　メイクブラシ</t>
  </si>
  <si>
    <t>46-19</t>
  </si>
  <si>
    <t>46-34</t>
  </si>
  <si>
    <t>115000</t>
  </si>
  <si>
    <t>690000</t>
  </si>
  <si>
    <t>【ふるさと納税】熊野化粧筆　モテフデ＋　メイクブラシ　熊野筆　化粧筆</t>
  </si>
  <si>
    <t>660000</t>
  </si>
  <si>
    <t>【ふるさと納税】熊野化粧筆　Passionシリーズ１０点セット　メイクブラシ　熊野筆　化粧筆　パウダー　チーク　ハイライト　アイシャドー　アイブロー　エッジ　リップ　シャドーライナー　ブレンディング　化粧筆セット　化粧ブラシ</t>
  </si>
  <si>
    <t>26-47</t>
  </si>
  <si>
    <t>110000</t>
  </si>
  <si>
    <t>【ふるさと納税】花型ボディブラシ（柄付） 熊野筆　メイクブラシ　熊野筆　化粧筆</t>
  </si>
  <si>
    <t>650000</t>
  </si>
  <si>
    <t>【ふるさと納税】 熊野化粧筆　携帯用ブラシ　メイクブラシ　熊野筆　化粧筆</t>
  </si>
  <si>
    <t>63</t>
  </si>
  <si>
    <t>630000</t>
  </si>
  <si>
    <t>【ふるさと納税】熊野化粧筆　律フルセット＆ケース　ピンク　メイクブラシ　熊野筆　化粧筆</t>
  </si>
  <si>
    <t>27-62</t>
  </si>
  <si>
    <t>600000</t>
  </si>
  <si>
    <t>【ふるさと納税】熊野化粧筆　宙プレミアムブラシ6本＆ケース　メイクブラシ　熊野筆　化粧筆</t>
  </si>
  <si>
    <t>27-156</t>
  </si>
  <si>
    <t>120000</t>
  </si>
  <si>
    <t>【ふるさと納税】熊野化粧筆　宙プレミアムブラシ5本＆ケース　メイクブラシ　熊野筆　化粧筆</t>
  </si>
  <si>
    <t>27-160</t>
  </si>
  <si>
    <t>【ふるさと納税】熊野化粧筆　松リスSpecialアイシャドウ3本セット　メイクブラシ　熊野筆　化粧筆</t>
  </si>
  <si>
    <t>21-33</t>
  </si>
  <si>
    <t>550000</t>
  </si>
  <si>
    <t>【ふるさと納税】熊野化粧筆　ソフトアイメイクセット　メイクブラシ　熊野筆　化粧筆　アイメイク</t>
  </si>
  <si>
    <t>【ふるさと納税】熊野化粧筆　【KP-S-5】Premium5本セット（化粧箱・ポーチ付き）　メイクブラシ　熊野筆　化粧筆　灰リス　リス　山羊　ヤギ</t>
  </si>
  <si>
    <t>14-58</t>
  </si>
  <si>
    <t>【ふるさと納税】熊野化粧筆　宙プレミアムフルセット＆ケース</t>
  </si>
  <si>
    <t>27-184</t>
  </si>
  <si>
    <t>180000</t>
  </si>
  <si>
    <t>540000</t>
  </si>
  <si>
    <t>【ふるさと納税】熊野化粧筆　萌人気ブラシ3本＆ケース　メイクブラシ　熊野筆　化粧筆</t>
  </si>
  <si>
    <t>500000</t>
  </si>
  <si>
    <t>【ふるさと納税】熊野化粧筆　ファンデ＆アイメイクブラシ限定カラー＆ケース　メイクブラシ　熊野筆　化粧筆</t>
  </si>
  <si>
    <t>27-171</t>
  </si>
  <si>
    <t>【ふるさと納税】熊野化粧筆　Sアイメイク3点セット　熊野筆　伝統工芸品</t>
  </si>
  <si>
    <t>16-15</t>
  </si>
  <si>
    <t>480000</t>
  </si>
  <si>
    <t>【ふるさと納税】熊野化粧筆　Sコレクション　熊野筆　伝統工芸品</t>
  </si>
  <si>
    <t>16-16</t>
  </si>
  <si>
    <t>【ふるさと納税】熊野化粧筆　赤リス化粧ブラシ10本セット　メイクブラシ　熊野筆　化粧筆</t>
  </si>
  <si>
    <t>21-36</t>
  </si>
  <si>
    <t>475000</t>
  </si>
  <si>
    <t>【ふるさと納税】熊野化粧筆　SHAQUDA　ミスミ　4ブラッシュ＆ブラッシュラップ　桐箱入り　メイクブラシ　熊野筆　化粧筆</t>
  </si>
  <si>
    <t>43-14</t>
  </si>
  <si>
    <t>95000</t>
  </si>
  <si>
    <t>【ふるさと納税】白鳳堂　化粧筆　ポイントメイク3本セット　メイクブラシ</t>
  </si>
  <si>
    <t>46-06</t>
  </si>
  <si>
    <t>455000</t>
  </si>
  <si>
    <t>【ふるさと納税】白鳳堂　化粧筆7本セット　メイクブラシ</t>
  </si>
  <si>
    <t>46-28</t>
  </si>
  <si>
    <t>【ふるさと納税】熊野筆　水彩5本セット（セーブル）　水彩　絵筆　伝統工芸品　日本画　水彩画　刷毛　文字　手書き　手描き　文房具</t>
  </si>
  <si>
    <t>450000</t>
  </si>
  <si>
    <t>【ふるさと納税】白鳳堂　化粧筆　艶肌ベースメイク4本セット　メイクブラシ</t>
  </si>
  <si>
    <t>46-15</t>
  </si>
  <si>
    <t>【ふるさと納税】熊野化粧筆　Passionシリーズ５点セット　メイクブラシ　熊野筆　化粧筆　パウダー　チーク　アイシャドー　アイブロー　リップ　化粧筆セット　化粧ブラシ</t>
  </si>
  <si>
    <t>26-48</t>
  </si>
  <si>
    <t>【ふるさと納税】熊野化粧筆【F-04】ミネラルfu-pa03　メイクブラシ　熊野筆　化粧筆</t>
  </si>
  <si>
    <t>440000</t>
  </si>
  <si>
    <t>46-32</t>
  </si>
  <si>
    <t>【ふるさと納税】熊野化粧筆　メイクブラシ5点セット・レッドパール（灰リス１００％チークS）BR-11　メイクブラシ　熊野筆　化粧筆</t>
  </si>
  <si>
    <t>60000</t>
  </si>
  <si>
    <t>420000</t>
  </si>
  <si>
    <t>【ふるさと納税】熊野化粧筆　プロフェッショナルセット　メイクブラシ　熊野筆　化粧筆</t>
  </si>
  <si>
    <t>21-5</t>
  </si>
  <si>
    <t>400000</t>
  </si>
  <si>
    <t>【ふるさと納税】熊野化粧筆　パウダーブラシ　赤　メイクブラシ　熊野筆　化粧筆</t>
  </si>
  <si>
    <t>26-35</t>
  </si>
  <si>
    <t>【ふるさと納税】熊野化粧筆　柿渋染め 熊野筆5P　メイクブラシ　熊野筆　化粧筆</t>
  </si>
  <si>
    <t>14-59</t>
  </si>
  <si>
    <t>380000</t>
  </si>
  <si>
    <t>【ふるさと納税】熊野化粧筆　チークブラシ（リス）　メイクブラシ　熊野筆　化粧筆</t>
  </si>
  <si>
    <t>26-33</t>
  </si>
  <si>
    <t>375000</t>
  </si>
  <si>
    <t>【ふるさと納税】熊野化粧筆　萌５本セット＆ケース　メイクブラシ　熊野筆　化粧筆　チーク　アイシャドー　シャドーライナー　スクリューブラシ　眉ブラシ　コームブラシ　化粧ブラシ　化粧筆セット</t>
  </si>
  <si>
    <t>27-146</t>
  </si>
  <si>
    <t>【ふるさと納税】熊野化粧筆　Anneシリーズ８点セット　メイクブラシ　熊野筆　化粧筆　パウダー　チーク　アイシャドー　シャドーライナー　アイブロー　スクリュー　リップ　ケース　化粧筆セット　化粧ブラシ</t>
  </si>
  <si>
    <t>26-60</t>
  </si>
  <si>
    <t>【ふるさと納税】熊野化粧筆　萌定番3本セット　メイクブラシ　熊野筆　化粧筆</t>
  </si>
  <si>
    <t>27-147</t>
  </si>
  <si>
    <t>【ふるさと納税】白鳳堂　化粧筆　黒檀携帯ミニセット　メイクブラシ</t>
  </si>
  <si>
    <t>46-09</t>
  </si>
  <si>
    <t>185000</t>
  </si>
  <si>
    <t>370000</t>
  </si>
  <si>
    <t>【ふるさと納税】熊野化粧筆　リキッドファンデーションブラシホワイト　メイクブラシ　熊野筆　化粧筆</t>
  </si>
  <si>
    <t>360000</t>
  </si>
  <si>
    <t>【ふるさと納税】熊野化粧筆　アイシャドウ４本セット 　メイクブラシ　熊野筆　化粧筆</t>
  </si>
  <si>
    <t>21-1</t>
  </si>
  <si>
    <t>【ふるさと納税】熊野化粧筆　SSゴージャスフルメイク　熊野筆　伝統工芸品</t>
  </si>
  <si>
    <t>16-17</t>
  </si>
  <si>
    <t>【ふるさと納税】熊野化粧筆 フェイスパウダーブラシ 灰リス・粗光峰混毛 メイクアップ ブラシ</t>
  </si>
  <si>
    <t>350000</t>
  </si>
  <si>
    <t>21-49</t>
  </si>
  <si>
    <t>345000</t>
  </si>
  <si>
    <t>【ふるさと納税】熊野化粧筆　赤軸５本セット(ポーチ付)　メイクブラシ　熊野筆　化粧筆</t>
  </si>
  <si>
    <t>【ふるさと納税】文宏堂　熊野化粧筆　CBPシリーズ基本5本セット(ケース付き)　CB1P　メイクブラシ　熊野筆　化粧筆</t>
  </si>
  <si>
    <t>49-5</t>
  </si>
  <si>
    <t>【ふるさと納税】白鳳堂　化粧筆　F1521　扇段平（段差4mm）メイクブラシ</t>
  </si>
  <si>
    <t>46-03</t>
  </si>
  <si>
    <t>325000</t>
  </si>
  <si>
    <t>【ふるさと納税】熊野化粧筆　チークブラシ【灰リス100%】 MR-8　メイクブラシ　熊野筆　化粧筆</t>
  </si>
  <si>
    <t>315000</t>
  </si>
  <si>
    <t>【ふるさと納税】 熊野化粧筆　マスクメイクセット（軸色：赤）　メイクブラシ　熊野筆　化粧筆</t>
  </si>
  <si>
    <t>21-26</t>
  </si>
  <si>
    <t>300000</t>
  </si>
  <si>
    <t>【ふるさと納税】熊野化粧筆　Makiko 5P（パウダーブラシ・チークブラシ・アイシャドウブラシL・アイシャドウブラシM・リップブラシ）　メイクブラシ　熊野筆　化粧筆</t>
  </si>
  <si>
    <t>【ふるさと納税】熊野化粧筆　マルチステージブラシ　メイクブラシ　熊野筆　化粧筆</t>
  </si>
  <si>
    <t>【ふるさと納税】熊野化粧筆　RRシリーズ2点セット（リキッド、コンシーラー）　メイクブラシ　熊野筆　化粧筆　ふるさと納税限定セット</t>
  </si>
  <si>
    <t>26-56</t>
  </si>
  <si>
    <t>【ふるさと納税】熊野化粧筆　Anneシリーズ５点セット　メイクブラシ　熊野筆　化粧筆　パウダー　チーク　アイシャドー　アイブロー　リップ　ケース　化粧筆セット　化粧ブラシ</t>
  </si>
  <si>
    <t>【ふるさと納税】熊野化粧筆　萌定番アイメイク３本セット　メイクブラシ　熊野筆　化粧筆</t>
  </si>
  <si>
    <t>27-166</t>
  </si>
  <si>
    <t>【ふるさと納税】熊野化粧筆　連シリーズ５点セット　メイクブラシ　熊野筆　化粧筆　パウダー　チーク　ハイライト　アイシャドー　ケース　化粧筆セット　化粧ブラシ</t>
  </si>
  <si>
    <t>26-58</t>
  </si>
  <si>
    <t>295000</t>
  </si>
  <si>
    <t>【ふるさと納税】熊野化粧筆　Passionシリーズ３点セット（パウダー、アイシャドー、リップ）　メイクブラシ　熊野筆　化粧筆　化粧筆セット　化粧ブラシ</t>
  </si>
  <si>
    <t>26-49</t>
  </si>
  <si>
    <t>280000</t>
  </si>
  <si>
    <t>【ふるさと納税】熊野化粧筆　律フルセット＆ケース（クロ）　メイクブラシ　熊野筆　化粧筆</t>
  </si>
  <si>
    <t>【ふるさと納税】熊野化粧筆　パールピンク軸パウダーブラシ　メイクブラシ　熊野筆　化粧筆</t>
  </si>
  <si>
    <t>23-81</t>
  </si>
  <si>
    <t>275000</t>
  </si>
  <si>
    <t>【ふるさと納税】熊野化粧筆　スターター５本セット（S-16）　メイクブラシ　熊野筆　化粧筆</t>
  </si>
  <si>
    <t>26-38</t>
  </si>
  <si>
    <t>【ふるさと納税】熊野化粧筆【KP-1】premiumシリーズ　 パウダーブラシ　メイクブラシ　熊野筆　化粧筆</t>
  </si>
  <si>
    <t>14-55</t>
  </si>
  <si>
    <t>27-104</t>
  </si>
  <si>
    <t>【ふるさと納税】熊野化粧筆　2本セット　Dタイプ　メイクブラシ　熊野筆　化粧筆</t>
  </si>
  <si>
    <t>25-3</t>
  </si>
  <si>
    <t>255000</t>
  </si>
  <si>
    <t>【ふるさと納税】熊野化粧筆　迷える大人の4本＆ケース　メイクブラシ　熊野筆　化粧筆</t>
  </si>
  <si>
    <t>27-151</t>
  </si>
  <si>
    <t>250000</t>
  </si>
  <si>
    <t>【ふるさと納税】熊野筆　書家向け　高級羊毛　暖心シリーズ3本　伝統工芸品　書道　書家　文字　手書き　手描き　文房具</t>
  </si>
  <si>
    <t>27-91</t>
  </si>
  <si>
    <t>240000</t>
  </si>
  <si>
    <t>【ふるさと納税】 熊野化粧筆　扇筆　メイクブラシ　熊野筆　化粧筆</t>
  </si>
  <si>
    <t>28-7</t>
  </si>
  <si>
    <t>【ふるさと納税】熊野化粧筆　蒔絵携帯筆（日月）　メイクブラシ　熊野筆　化粧筆</t>
  </si>
  <si>
    <t>【ふるさと納税】熊野化粧筆　携帯蒔絵３本セット(BR-8)　メイクブラシ　熊野筆　化粧筆</t>
  </si>
  <si>
    <t>26-40</t>
  </si>
  <si>
    <t>【ふるさと納税】熊野化粧筆 パウダー・チークブラシ2本セット 灰リス・粗光峰混毛 メイクアップ ブラシ</t>
  </si>
  <si>
    <t>【ふるさと納税】熊野化粧筆　宙人気高級チーク＆シャドーブラシ</t>
  </si>
  <si>
    <t>27-175</t>
  </si>
  <si>
    <t>【ふるさと納税】熊野化粧筆　極上フェイス＆宙プレミアム全13本＆ケース　筆シャン付　メイクブラシ　熊野筆　化粧筆</t>
  </si>
  <si>
    <t>27-153</t>
  </si>
  <si>
    <t>230000</t>
  </si>
  <si>
    <t>【ふるさと納税】熊野化粧筆 チークブラシ 灰リス・粗光峰混毛 メイクアップ ブラシ</t>
  </si>
  <si>
    <t>225000</t>
  </si>
  <si>
    <t>【ふるさと納税】熊野化粧筆　オリジナルアイシャドウ４本セット 　メイクブラシ　熊野筆　化粧筆</t>
  </si>
  <si>
    <t>21-45</t>
  </si>
  <si>
    <t>【ふるさと納税】白鳳堂　化粧筆　リキッドファンデーション筆セット　メイクブラシ</t>
  </si>
  <si>
    <t>46-24</t>
  </si>
  <si>
    <t>【ふるさと納税】熊野化粧筆 レッドパール3本セット BR-S-1  メイクブラシ　熊野筆　化粧筆</t>
  </si>
  <si>
    <t>220000</t>
  </si>
  <si>
    <t>【ふるさと納税】 熊野化粧筆　グレイスセット　軸色：赤　メイクブラシ　熊野筆　化粧筆</t>
  </si>
  <si>
    <t>21-10</t>
  </si>
  <si>
    <t>【ふるさと納税】熊野化粧筆　押出式携帯リップブラシ赤TRO-05　メイクブラシ　熊野筆　化粧筆　イタチ</t>
  </si>
  <si>
    <t>21-28</t>
  </si>
  <si>
    <t>46-10</t>
  </si>
  <si>
    <t>【ふるさと納税】熊野化粧筆　SHAQUDA　スーヴェ ボディブラシ ショート　熊野筆　洗顔</t>
  </si>
  <si>
    <t>43-10</t>
  </si>
  <si>
    <t>【ふるさと納税】熊野化粧筆　ROYAL5本＆ブラシケースセット　ケース：ピンク　熊野筆　メイクブラシ　化粧筆　5本セット　ケース</t>
  </si>
  <si>
    <t>210000</t>
  </si>
  <si>
    <t>【ふるさと納税】熊野筆　はじめての日本画セット　伝統工芸品　日本画　水彩画　刷毛　文字　手書き　手描き　文房具</t>
  </si>
  <si>
    <t>【ふるさと納税】熊野化粧筆　Anneシリーズ３点セット　メイクブラシ　熊野筆　化粧筆　チーク　アイシャドー　アイブロー　ケース　化粧筆セット　化粧ブラシ</t>
  </si>
  <si>
    <t>26-62</t>
  </si>
  <si>
    <t>【ふるさと納税】熊野化粧筆 2 SOMELLGARDEN　LEMON　メイクブラシ　熊野筆　化粧筆</t>
  </si>
  <si>
    <t>200000</t>
  </si>
  <si>
    <t>【ふるさと納税】熊野化粧筆　リキッドファンデーションブラシパールピンク　メイクブラシ　熊野筆　化粧筆</t>
  </si>
  <si>
    <t>【ふるさと納税】熊野化粧筆　宙プレミアムブラシ11本＆ケース　メイクブラシ　熊野筆　化粧筆</t>
  </si>
  <si>
    <t>27-78</t>
  </si>
  <si>
    <t>【ふるさと納税】熊野筆 水墨画用筆4本セット　伝統工芸品　日本画　水彩画　刷毛　文字　手書き　手描き　文房具</t>
  </si>
  <si>
    <t>【ふるさと納税】熊野化粧筆 フェイスパウダーブラシ 灰リス100％ メイクアップ ブラシ</t>
  </si>
  <si>
    <t>【ふるさと納税】熊野化粧筆　宙高級ブラシ3本＆ケース</t>
  </si>
  <si>
    <t>27-176</t>
  </si>
  <si>
    <t>【ふるさと納税】熊野筆　書筆　かな筆書き比べ3本セット　伝統工芸品　書道　書家　文字　手書き　手描き　文房具　面相筆</t>
  </si>
  <si>
    <t>195000</t>
  </si>
  <si>
    <t>【ふるさと納税】熊野化粧筆　ふわふわチークブラシ【ホワイトトップ】　メイクブラシ　熊野筆　化粧筆</t>
  </si>
  <si>
    <t>23-44</t>
  </si>
  <si>
    <t>190000</t>
  </si>
  <si>
    <t>【ふるさと納税】 熊野化粧筆　マスクメイクセット（軸色：黒）　メイクブラシ　熊野筆　化粧筆</t>
  </si>
  <si>
    <t>21-7</t>
  </si>
  <si>
    <t>【ふるさと納税】熊野化粧筆 レッドパールスペシャル10本セット　メイクブラシ　熊野筆　化粧筆</t>
  </si>
  <si>
    <t>22-15</t>
  </si>
  <si>
    <t>【ふるさと納税】熊野化粧筆　SS3-3ファンデーション　メイクブラシ　熊野筆　化粧筆</t>
  </si>
  <si>
    <t>【ふるさと納税】熊野化粧筆　SHAQUDA　スーヴェ ボディブラシ ロング　熊野筆　洗顔</t>
  </si>
  <si>
    <t>【ふるさと納税】熊野化粧筆　３Ｄフェイスブラシ（ショート軸）　メイクブラシ　熊野筆　化粧筆</t>
  </si>
  <si>
    <t>175000</t>
  </si>
  <si>
    <t>【ふるさと納税】熊野化粧筆　チークブラシ（馬）　メイクブラシ　熊野筆　化粧筆</t>
  </si>
  <si>
    <t>26-32</t>
  </si>
  <si>
    <t>170000</t>
  </si>
  <si>
    <t>16-27</t>
  </si>
  <si>
    <t>85000</t>
  </si>
  <si>
    <t>【ふるさと納税】熊野化粧筆　宙プレミアム高級リス毛３本</t>
  </si>
  <si>
    <t>27-179</t>
  </si>
  <si>
    <t>【ふるさと納税】熊野筆　書筆２本セット(秀峰・女神)　伝統工芸品　書道　書家　文字　手書き　手描き　文房具</t>
  </si>
  <si>
    <t>41-1</t>
  </si>
  <si>
    <t>165000</t>
  </si>
  <si>
    <t>【ふるさと納税】熊野筆　五連筆　伝統工芸品　日本画　水彩画　刷毛　文字　手書き　手描き　文房具</t>
  </si>
  <si>
    <t>【ふるさと納税】文宏堂　熊野化粧筆　ミネラル＆リキッドファンデ用ブラシ　NCB249　メイクブラシ　熊野筆　化粧筆</t>
  </si>
  <si>
    <t>【ふるさと納税】熊野筆　書道筆　大小２本セット（桐箱入り）　書筆　大筆　小筆　伝統工芸品　書道　書家　文字　手書き　手描き　文房具</t>
  </si>
  <si>
    <t>42-1</t>
  </si>
  <si>
    <t>160000</t>
  </si>
  <si>
    <t>【ふるさと納税】熊野筆　書家向け高級イタチ毛/羊毛筆　無心　夏　伝統工芸品　書道　書家　文字　手書き　手描き　文房具</t>
  </si>
  <si>
    <t>【ふるさと納税】熊野筆　書家向け　高級羊毛　遠鷗　地　伝統工芸品　書道　書家　文字　手書き　手描き　文房具</t>
  </si>
  <si>
    <t>27-93</t>
  </si>
  <si>
    <t>【ふるさと納税】赤ちゃんの誕生記念筆引換券　熊野町　赤ちゃん　記念　記念筆　髪の毛　伝統工芸士　伝統工芸品　書道　書家　文字　手書き　手描き　文房具</t>
  </si>
  <si>
    <t>13-8</t>
  </si>
  <si>
    <t>【ふるさと納税】熊野化粧筆　Yoshiki6本セット　リップ付き　メイクブラシ　熊野筆　化粧筆　山羊　ヤギ</t>
  </si>
  <si>
    <t>14-53</t>
  </si>
  <si>
    <t>【ふるさと納税】熊野化粧筆　ファンデブラシ小（ケース付）と筆シャンセット　メイクブラシ　熊野筆　化粧筆　洗浄剤</t>
  </si>
  <si>
    <t>27-169</t>
  </si>
  <si>
    <t>【ふるさと納税】 熊野化粧筆　恋筆メイクブラシセット　メイクブラシ　熊野筆　化粧筆</t>
  </si>
  <si>
    <t>27-77</t>
  </si>
  <si>
    <t>【ふるさと納税】熊野化粧筆　パールピンク 松リスアイシャドウブラシ　メイクブラシ　熊野筆　化粧筆</t>
  </si>
  <si>
    <t>【ふるさと納税】熊野化粧筆　セレクション3本セット　メイクブラシ　熊野筆　化粧筆　アイメイク</t>
  </si>
  <si>
    <t>【ふるさと納税】熊野化粧筆　ファンデブラシ（ケース付）＆筆シャンセット　ブロンズ　メイクブラシ　熊野筆　化粧筆　洗浄剤</t>
  </si>
  <si>
    <t>27-132</t>
  </si>
  <si>
    <t>【ふるさと納税】熊野化粧筆　オリジナルギフト3点セット（馬）ピンク軸　メイクブラシ　熊野筆　化粧筆　チーク　アイシャドー　リップ　化粧ブラシ　化粧筆セット</t>
  </si>
  <si>
    <t>26-52</t>
  </si>
  <si>
    <t>【ふるさと納税】熊野筆 アニメ用筆2本セット 伝統的工芸品熊野筆　伝統工芸品　日本画　水彩画　刷毛　文字　手書き　手描き　文房具</t>
  </si>
  <si>
    <t>【ふるさと納税】熊野化粧筆　萌定番2本セット　メイクブラシ　熊野筆　化粧筆</t>
  </si>
  <si>
    <t>27-148</t>
  </si>
  <si>
    <t>【ふるさと納税】熊野化粧筆　SHAQUDA　ウヴ　３ブラッシュ＆ケース　メイクブラシ　熊野筆　化粧筆</t>
  </si>
  <si>
    <t>43-12</t>
  </si>
  <si>
    <t>145000</t>
  </si>
  <si>
    <t>【ふるさと納税】熊野化粧筆　アイブロウブラシ　LB6　毛丈：ロング　メイクブラシ　熊野筆　化粧筆</t>
  </si>
  <si>
    <t>140000</t>
  </si>
  <si>
    <t>【ふるさと納税】熊野化粧筆　アイブロウブラシ　LB6S　毛丈：ショート　メイクブラシ　熊野筆　化粧筆</t>
  </si>
  <si>
    <t>21-14</t>
  </si>
  <si>
    <t>【ふるさと納税】熊野化粧筆　洗顔ブラシ大【特許取得】抗菌加工　熊野筆　化粧筆　洗顔</t>
  </si>
  <si>
    <t>【ふるさと納税】白鳳堂　化粧筆　プッシュアップ式リップ　PmA　平　メイクブラシ</t>
  </si>
  <si>
    <t>46-01</t>
  </si>
  <si>
    <t>【ふるさと納税】熊野化粧筆　迷える乙女の３本セット　メイクブラシ　熊野筆　化粧筆　ファンデーション　アイシャドー　シャドーライナー　眉ブラシ　コームブラシ　化粧ブラシ　化粧筆セット</t>
  </si>
  <si>
    <t>27-170</t>
  </si>
  <si>
    <t>【ふるさと納税】熊野化粧筆　Happy box　メイクブラシ　熊野筆　化粧筆</t>
  </si>
  <si>
    <t>16-8</t>
  </si>
  <si>
    <t>【ふるさと納税】白鳳堂　化粧筆　黒檀きのこ筆中　メイクブラシ</t>
  </si>
  <si>
    <t>46-08</t>
  </si>
  <si>
    <t>【ふるさと納税】熊野化粧筆　ハート形洗顔ブラシ　熊野筆　洗顔</t>
  </si>
  <si>
    <t>45-6</t>
  </si>
  <si>
    <t>【ふるさと納税】熊野化粧筆　宙プレミアムブラシ8本＆ケース　アイメイク充実セット　メイクブラシ　熊野筆　化粧筆</t>
  </si>
  <si>
    <t>27-161</t>
  </si>
  <si>
    <t>【ふるさと納税】熊野筆　書筆 一日一筆箱　小筆　伝統工芸品　書道　書家　文字　手書き　手描き　文房具</t>
  </si>
  <si>
    <t>125000</t>
  </si>
  <si>
    <t>【ふるさと納税】熊野筆 絵手紙用筆3本セット　伝統工芸品　日本画　水彩画　刷毛　文字　手書き　手描き　文房具</t>
  </si>
  <si>
    <t>【ふるさと納税】熊野化粧筆　洗顔ブラシ　熊野筆　洗顔</t>
  </si>
  <si>
    <t>【ふるさと納税】熊野化粧筆　ハイライトブラシ　メイクブラシ　熊野筆　化粧筆</t>
  </si>
  <si>
    <t>21-16</t>
  </si>
  <si>
    <t>【ふるさと納税】熊野筆　毛筆２本セット(名入れ可)　書筆　伝統工芸品　書道　書家　文字　手書き　手描き　文房具</t>
  </si>
  <si>
    <t>40-2</t>
  </si>
  <si>
    <t>27-75</t>
  </si>
  <si>
    <t>46-05</t>
  </si>
  <si>
    <t>【ふるさと納税】熊野筆　伝統工芸士書筆2本セット　天　熊野筆　伝統工芸品　書道　書家　文字　手書き　手描き　文房具</t>
  </si>
  <si>
    <t>【ふるさと納税】熊野化粧筆　オリジナルギフト3点セット（馬）黒軸　メイクブラシ　熊野筆　化粧筆　チーク　アイシャドー　リップ　化粧筆セット　化粧ブラシ</t>
  </si>
  <si>
    <t>21-69</t>
  </si>
  <si>
    <t>【ふるさと納税】熊野化粧筆　vivid （ヴィヴィッド）　メイクブラシ　熊野筆　化粧筆</t>
  </si>
  <si>
    <t>【ふるさと納税】熊野化粧筆　4本セット　メイクブラシ　熊野筆　化粧筆</t>
  </si>
  <si>
    <t>【ふるさと納税】熊野化粧筆　ふわふわチークブラシ【ブラックトップ】　メイクブラシ　熊野筆　化粧筆</t>
  </si>
  <si>
    <t>23-45</t>
  </si>
  <si>
    <t>【ふるさと納税】熊野化粧筆　豊玉姫3本＆ケース(イエロー)　メイクブラシ　熊野筆　化粧筆</t>
  </si>
  <si>
    <t>27-69</t>
  </si>
  <si>
    <t>【ふるさと納税】熊野筆　書家向け高級羊毛　中鋒暖心　羊　ヒツジ　伝統工芸品　書道　書家　文字　手書き　手描き　文房具</t>
  </si>
  <si>
    <t>27-86</t>
  </si>
  <si>
    <t>【ふるさと納税】熊野化粧筆　限定フラワーパウダーブラシ(ピンク・イエロー)　メイクブラシ　熊野筆　化粧筆　フラワー</t>
  </si>
  <si>
    <t>23-85</t>
  </si>
  <si>
    <t>21-52</t>
  </si>
  <si>
    <t>【ふるさと納税】熊野化粧筆　パールピンクセット　メイクブラシ　熊野筆　化粧筆</t>
  </si>
  <si>
    <t>23-31</t>
  </si>
  <si>
    <t>【ふるさと納税】熊野化粧筆　フェイスブラシ(粗光峰)　軸色：赤　メイクブラシ　熊野筆　化粧筆</t>
  </si>
  <si>
    <t>21-20</t>
  </si>
  <si>
    <t>【ふるさと納税】熊野化粧筆 【日本ギフト大賞 2015 広島賞】ピンクパール５本セット PK-47　メイクブラシ　熊野筆　化粧筆</t>
  </si>
  <si>
    <t>【ふるさと納税】熊野化粧筆　携帯リップブラシ(ピンクリボン）　メイクブラシ　熊野筆　化粧筆</t>
  </si>
  <si>
    <t>23-4</t>
  </si>
  <si>
    <t>【ふるさと納税】熊野化粧筆　3本セット　メイクブラシ　熊野筆　化粧筆</t>
  </si>
  <si>
    <t>【ふるさと納税】熊野化粧筆　2本セット　Eタイプ　メイクブラシ　熊野筆　化粧筆</t>
  </si>
  <si>
    <t>25-4</t>
  </si>
  <si>
    <t>27-74</t>
  </si>
  <si>
    <t>【ふるさと納税】熊野筆　書家向け　人気の暁（あかつき）4本セット　伝統工芸品　書道　書家　文字　手書き　手描き　文房具</t>
  </si>
  <si>
    <t>27-89</t>
  </si>
  <si>
    <t>【ふるさと納税】白鳳堂　化粧筆　ポイントメイク2本セット　メイクブラシ</t>
  </si>
  <si>
    <t>46-14</t>
  </si>
  <si>
    <t>【ふるさと納税】熊野化粧筆　携帯パウダーブラシ_ブラック丸　メイクブラシ　熊野筆　化粧筆</t>
  </si>
  <si>
    <t>23-79</t>
  </si>
  <si>
    <t>【ふるさと納税】熊野化粧筆　ファンデブラシ小（ケース付）と筆シャンセット　ブロンズ　メイクブラシ　熊野筆　化粧筆　洗浄剤</t>
  </si>
  <si>
    <t>27-130</t>
  </si>
  <si>
    <t>【ふるさと納税】熊野化粧筆　迷える乙女の4本＆ケース　メイクブラシ　熊野筆　化粧筆　ファンデーション　アイシャドー　シャドーライナー　眉ブラシ　コームブラシ　化粧ブラシ　化粧筆セット</t>
  </si>
  <si>
    <t>27-135</t>
  </si>
  <si>
    <t>【ふるさと納税】熊野化粧筆　リキッドファンデーションブラシ【ケース付き】 ダルメシアン柄 ブラック　メイクブラシ　熊野筆　化粧筆　リキット　ファンデーション</t>
  </si>
  <si>
    <t>23-82</t>
  </si>
  <si>
    <t>【ふるさと納税】熊野化粧筆　Carp 熊野筆 メイクブラシ3本＆ケースセット　熊野筆　メイクブラシ　化粧筆　ケース</t>
  </si>
  <si>
    <t>45-18</t>
  </si>
  <si>
    <t>【ふるさと納税】熊野化粧筆　フェイスブラシ(粗光峰)　33Ｂ（軸色：黒）　メイクブラシ　熊野筆　化粧筆</t>
  </si>
  <si>
    <t>21-60</t>
  </si>
  <si>
    <t>【ふるさと納税】熊野化粧筆　ホワイト軸アイメイク３本セット　メイクブラシ　熊野筆　化粧筆</t>
  </si>
  <si>
    <t>27-172</t>
  </si>
  <si>
    <t>46-20</t>
  </si>
  <si>
    <t>【ふるさと納税】熊野筆　書筆　高級イタチ筆　伝統工芸品　書道　書家　文字　手書き　手描き　文房具</t>
  </si>
  <si>
    <t>41-5</t>
  </si>
  <si>
    <t>【ふるさと納税】熊野化粧筆　7本セット　メイクブラシ　熊野筆　化粧筆</t>
  </si>
  <si>
    <t>23-15</t>
  </si>
  <si>
    <t>【ふるさと納税】熊野化粧筆　ANNIVERSARYハイクラスprecious５本セット　メイクブラシ　熊野筆　化粧筆　フェイスブラシ　チークブラシ　アイシャドウブラシ　アイブロー　化粧筆セット　メイクブラシ</t>
  </si>
  <si>
    <t>23-74</t>
  </si>
  <si>
    <t>【ふるさと納税】熊野化粧筆　ROYAL5本＆ブラシケースセット　ケース：ブラック　熊野筆　メイクブラシ　化粧筆　5本セット　ケース</t>
  </si>
  <si>
    <t>90000</t>
  </si>
  <si>
    <t>【ふるさと納税】熊野化粧筆　萌定番2本＆ケースセット　メイクブラシ　熊野筆　化粧筆</t>
  </si>
  <si>
    <t>27-114</t>
  </si>
  <si>
    <t>【ふるさと納税】熊野化粧筆　宙人気高級ブラシ3本＆ケース　ピンクゴールド　熊野筆　化粧筆　メイクブラシ　チーク　アイシャドー　シャドーライナー　化粧ブラシ　化粧筆セット</t>
  </si>
  <si>
    <t>27-141</t>
  </si>
  <si>
    <t>【ふるさと納税】熊野化粧筆　宙高級ブラシ2本＆ケース</t>
  </si>
  <si>
    <t>27-174</t>
  </si>
  <si>
    <t>【ふるさと納税】熊野化粧筆　アイライン2本セット　メイクブラシ　熊野筆　化粧筆</t>
  </si>
  <si>
    <t>21-12</t>
  </si>
  <si>
    <t>【ふるさと納税】【熊野市・熊野町友好都市協定締結記念コラボ】チークブラシ（八咫烏シリーズ）　メイクブラシ　熊野筆　化粧筆</t>
  </si>
  <si>
    <t>17-6</t>
  </si>
  <si>
    <t>【ふるさと納税】熊野化粧筆　チークブラシ(赤リス)　軸色：黒　メイクブラシ　熊野筆　化粧筆</t>
  </si>
  <si>
    <t>21-24</t>
  </si>
  <si>
    <t>【ふるさと納税】熊野化粧筆　携帯ハートフェイスブラシ　ピンク　メイクブラシ　熊野筆　化粧筆</t>
  </si>
  <si>
    <t>【ふるさと納税】熊野化粧筆　咲fude 3本セット　メイクブラシ　熊野筆　化粧筆</t>
  </si>
  <si>
    <t>【ふるさと納税】熊野筆　書筆　細字かな筆書き比べ3本セット　伝統工芸品　書道　書家　文字　手書き　手描き　文房具</t>
  </si>
  <si>
    <t>27-143</t>
  </si>
  <si>
    <t>【ふるさと納税】熊野化粧筆 チークパウダーブラシ 灰リス・粗光峰混毛 メイクアップ ブラシ</t>
  </si>
  <si>
    <t>【ふるさと納税】熊野化粧筆 レッドパール5本セット(ポーチ付) BR-S-2　メイクブラシ　熊野筆　化粧筆</t>
  </si>
  <si>
    <t>【ふるさと納税】熊野化粧筆　2本セットCタイプ　メイクブラシ　熊野筆　化粧筆</t>
  </si>
  <si>
    <t>【ふるさと納税】熊野化粧筆　【男女兼用】ハート洗顔ブラシ大＆ノーズブラシセット　ピンク　洗顔　熊野筆</t>
  </si>
  <si>
    <t>23-51</t>
  </si>
  <si>
    <t>【ふるさと納税】熊野化粧筆　【男女兼用】ハート洗顔ブラシ大＆ノーズブラシセット　白　洗顔　熊野筆</t>
  </si>
  <si>
    <t>23-52</t>
  </si>
  <si>
    <t>【ふるさと納税】熊野化粧筆　やわらか洗顔ブラシペアセット　熊野筆　化粧筆　洗顔</t>
  </si>
  <si>
    <t>27-119</t>
  </si>
  <si>
    <t>【ふるさと納税】熊野化粧筆　ファンデブラシ（ケース付）＆筆シャンセット　ピンク　メイクブラシ　熊野筆　化粧筆　洗浄剤</t>
  </si>
  <si>
    <t>27-173</t>
  </si>
  <si>
    <t>【ふるさと納税】博雲堂　熊野筆リセッター　メイクブラシクリーナー　キット 【 洗浄液 500ml・専用カップ・速乾タオル・ スタンド付 】　熊野筆　化粧筆　洗浄剤</t>
  </si>
  <si>
    <t>【ふるさと納税】熊野化粧筆　フェイスブラシ大(粗光峰)　メイクブラシ　熊野筆　化粧筆</t>
  </si>
  <si>
    <t>21-22</t>
  </si>
  <si>
    <t>70000</t>
  </si>
  <si>
    <t>【ふるさと納税】熊野化粧筆　ミニばらパウダーブラシ　ピンク　メイクブラシ　熊野筆　化粧筆</t>
  </si>
  <si>
    <t>23-19</t>
  </si>
  <si>
    <t>【ふるさと納税】清酒　大号令　酒ざんまい720ml×3本セット　日本酒　地酒</t>
  </si>
  <si>
    <t>15-5</t>
  </si>
  <si>
    <t>【ふるさと納税】熊野筆　書家向け　かな・詩文書用高級筆3本　伝統工芸品　書道　書家　文字　手書き　手描き　文房具</t>
  </si>
  <si>
    <t>【ふるさと納税】熊野化粧筆　フェイスブラシ(桐箱入り)　桐箱：桜　熊野筆　フェイス　ヤギ　山羊　桐箱</t>
  </si>
  <si>
    <t>【ふるさと納税】熊野化粧筆　萌眉お手入れ必須アイテム2本セット　メイクブラシ　熊野筆　化粧筆</t>
  </si>
  <si>
    <t>27-111</t>
  </si>
  <si>
    <t>【ふるさと納税】！ふるさと納税限定！　熊野化粧筆　アイメイク3本セット　熊野筆　化粧筆</t>
  </si>
  <si>
    <t>【ふるさと納税】文宏堂　熊野化粧筆　SAシリーズ基本5本セット(ケース付き)　SA1　メイクブラシ　熊野筆　化粧筆</t>
  </si>
  <si>
    <t>【ふるさと納税】熊野化粧筆　携帯リップブラシ(ゴールドリボン）　メイクブラシ　熊野筆　化粧筆</t>
  </si>
  <si>
    <t>23-3</t>
  </si>
  <si>
    <t>【ふるさと納税】熊野化粧筆　ノーズブラシ　クリア【男女兼用洗顔ブラシ】　洗顔　熊野筆</t>
  </si>
  <si>
    <t>23-16</t>
  </si>
  <si>
    <t>【ふるさと納税】【熊野市・熊野町友好都市協定締結記念コラボ】洗顔ブラシ（八咫烏シリーズ）　メイクブラシ　熊野筆　化粧筆</t>
  </si>
  <si>
    <t>【ふるさと納税】熊野化粧筆　洗顔ブラシ2本セット　ピンク　特許取得・抗菌加工　熊野筆　化粧筆　洗顔</t>
  </si>
  <si>
    <t>【ふるさと納税】熊野化粧筆　熊野化粧筆　押出式携帯リップブラシ黒TRO-01　メイクブラシ　熊野筆　化粧筆　イタチ</t>
  </si>
  <si>
    <t>21-29</t>
  </si>
  <si>
    <t>【ふるさと納税】熊野化粧筆　men's洗顔ブラシ＆ノーズブラシクリアセット　洗顔　熊野筆</t>
  </si>
  <si>
    <t>【ふるさと納税】熊野化粧筆　アイシャドウブラシ(ショート)　メイクブラシ　熊野筆　化粧筆</t>
  </si>
  <si>
    <t>21-30</t>
  </si>
  <si>
    <t>【ふるさと納税】熊野化粧筆　アイシャドウブラシ　CQ14SP　メイクブラシ　熊野筆　化粧筆</t>
  </si>
  <si>
    <t>21-32</t>
  </si>
  <si>
    <t>【ふるさと納税】熊野化粧筆　「ナチュラルメイク」PPフェイスパウダーブラシ＆携帯リップブラシセット　熊野筆　化粧筆　メイクブラシ</t>
  </si>
  <si>
    <t>23-55</t>
  </si>
  <si>
    <t>【ふるさと納税】熊野化粧筆　にこにこ！！さくらチークブラシ＆シャドウライナーブラシセット　メイクブラシ　熊野筆　化粧筆</t>
  </si>
  <si>
    <t>23-58</t>
  </si>
  <si>
    <t>【ふるさと納税】熊野化粧筆 メイクブラシ３点セット（ピンクパール）PK-5  メイクブラシ　熊野筆　化粧筆</t>
  </si>
  <si>
    <t>【ふるさと納税】熊野化粧筆　やわらか洗顔ブラシ　熊野筆　化粧筆　洗顔</t>
  </si>
  <si>
    <t>27-117</t>
  </si>
  <si>
    <t>【ふるさと納税】熊野化粧筆　パールホワイト３本＆ケース（ピンク）　メイクブラシ　熊野筆　化粧筆　チーク　アイシャドー　シャドーライナー　化粧ブラシ　化粧筆セット</t>
  </si>
  <si>
    <t>27-129</t>
  </si>
  <si>
    <t>【ふるさと納税】熊野化粧筆　RRシリーズ　アイメイクセット　メイクブラシ　熊野筆　化粧筆　ふるさと納税限定セット　アイシャドー　スクリュー　化粧筆セット　化粧ブラシ</t>
  </si>
  <si>
    <t>26-55</t>
  </si>
  <si>
    <t>【ふるさと納税】熊野化粧筆　ハイライトブラシ　WH14　メイクブラシ　熊野筆　化粧筆</t>
  </si>
  <si>
    <t>【ふるさと納税】熊野化粧筆　アイシャドウブラシ　CQ12　毛丈：ロング　メイクブラシ　熊野筆　化粧筆</t>
  </si>
  <si>
    <t>21-67</t>
  </si>
  <si>
    <t>【ふるさと納税】熊野化粧筆　アイシャドウブラシ　SQ10　メイクブラシ　熊野筆　化粧筆</t>
  </si>
  <si>
    <t>【ふるさと納税】熊野化粧筆 宙高級ブラシ3本セット　メイクブラシ　熊野筆　化粧筆</t>
  </si>
  <si>
    <t>27-109</t>
  </si>
  <si>
    <t>【ふるさと納税】熊野化粧筆　宙高級ブラシ3本セット　メイクブラシ　熊野筆　化粧筆</t>
  </si>
  <si>
    <t>27-159</t>
  </si>
  <si>
    <t>【ふるさと納税】 熊野化粧筆　グレイスセット （軸色：黒）メイクブラシ　熊野筆　化粧筆</t>
  </si>
  <si>
    <t>21-42</t>
  </si>
  <si>
    <t>【ふるさと納税】 熊野化粧筆　グレイスセット （軸色：青）メイクブラシ　熊野筆　化粧筆</t>
  </si>
  <si>
    <t>21-43</t>
  </si>
  <si>
    <t>【ふるさと納税】熊野化粧筆　輪島塗軸極上チークブラシ　オーキッドピンク</t>
  </si>
  <si>
    <t>27-177</t>
  </si>
  <si>
    <t>【ふるさと納税】熊野化粧筆　ハート2本セットピンク　メイクブラシ　熊野筆　化粧筆</t>
  </si>
  <si>
    <t>23-8</t>
  </si>
  <si>
    <t>【ふるさと納税】熊野化粧筆　肉球パウダーブラシ　メイクブラシ　熊野筆　化粧筆</t>
  </si>
  <si>
    <t>23-24</t>
  </si>
  <si>
    <t>【ふるさと納税】熊野化粧筆　メイクブラシ2本セット　メイクブラシ　熊野筆</t>
  </si>
  <si>
    <t>22-3</t>
  </si>
  <si>
    <t>【ふるさと納税】熊野化粧筆　フェイスブラシ(粗光峰)　軸色：黒　メイクブラシ　熊野筆　化粧筆</t>
  </si>
  <si>
    <t>21-21</t>
  </si>
  <si>
    <t>【ふるさと納税】熊野化粧筆　ミニばらパウダーブラシ　パープル　メイクブラシ　熊野筆　化粧筆</t>
  </si>
  <si>
    <t>【ふるさと納税】熊野化粧筆　アイシャドウブラシ　PQ10　メイクブラシ　熊野筆　化粧筆　馬　ポニー</t>
  </si>
  <si>
    <t>【ふるさと納税】熊野筆　書筆　人気書筆2本＆筆シャン　シャンプー　伝統工芸品　書道　書家　文字　手書き　手描き　文房具</t>
  </si>
  <si>
    <t>27-83</t>
  </si>
  <si>
    <t>【ふるさと納税】熊野化粧筆　フェイスブラシ(桐箱入り)　桐箱：フラワー　熊野筆　フェイス　ヤギ　山羊　桐箱</t>
  </si>
  <si>
    <t>45-8</t>
  </si>
  <si>
    <t>【ふるさと納税】熊野化粧筆　ハイクラス(灰リス・山羊毛)パウダーブラシprecious　メイクブラシ　熊野筆　化粧筆　フェイスブラシ　チークブラシ</t>
  </si>
  <si>
    <t>23-73</t>
  </si>
  <si>
    <t>【ふるさと納税】熊野筆 はじめての日本画セット　ミニ　伝統工芸品　日本画　水彩画　刷毛　文字　手書き　手描き　文房具</t>
  </si>
  <si>
    <t>29-18</t>
  </si>
  <si>
    <t>【ふるさと納税】 熊野化粧筆　灰リス製　3本セット　メイクブラシ　熊野筆　化粧筆</t>
  </si>
  <si>
    <t>【ふるさと納税】熊野筆　書家・画家　かな・詩文書用狸毛4本セット　伝統工芸品　書道　書家　文字　手書き　手描き　文房具</t>
  </si>
  <si>
    <t>【ふるさと納税】熊野化粧筆　アイシャドウブラシ(ロング)　CQ12　メイクブラシ　熊野筆　化粧筆</t>
  </si>
  <si>
    <t>21-31</t>
  </si>
  <si>
    <t>【ふるさと納税】熊野筆　書筆 伝統工芸士作 3本セット　大筆　小筆　伝統工芸品　書道　書家　文字　手書き　手描き　文房具</t>
  </si>
  <si>
    <t>13-7</t>
  </si>
  <si>
    <t>【ふるさと納税】熊野化粧筆　SS5-1リップブラシ　メイクブラシ　熊野筆　化粧筆</t>
  </si>
  <si>
    <t>16-22</t>
  </si>
  <si>
    <t>【ふるさと納税】熊野化粧筆 1 SOMELLGARDEN　PEACH×KEYAKI　メイクブラシ　熊野筆　化粧筆</t>
  </si>
  <si>
    <t>14-39</t>
  </si>
  <si>
    <t>【ふるさと納税】熊野化粧筆　ハートフェイスブラシ3本セット(スワロフスキー付)　メイクブラシ　熊野筆　化粧筆</t>
  </si>
  <si>
    <t>23-2</t>
  </si>
  <si>
    <t>【ふるさと納税】熊野化粧筆　携帯ハートフェイスブラシ　ブラック　メイクブラシ　熊野筆　化粧筆</t>
  </si>
  <si>
    <t>23-21</t>
  </si>
  <si>
    <t>【ふるさと納税】熊野化粧筆　3D携帯ブラシ（ブラック）　メイクブラシ　熊野筆　化粧筆</t>
  </si>
  <si>
    <t>23-35</t>
  </si>
  <si>
    <t>【ふるさと納税】熊野化粧筆　3D携帯ブラシ　ワインレッド　熊野筆</t>
  </si>
  <si>
    <t>23-36</t>
  </si>
  <si>
    <t>【ふるさと納税】熊野化粧筆　「笑顔輝く」３Ｄチークブラシ＆携帯リップブラシ【ゴールドリボン】セット　メイクブラシ　化粧筆</t>
  </si>
  <si>
    <t>23-43</t>
  </si>
  <si>
    <t>【ふるさと納税】熊野化粧筆　【男女兼用】ハート洗顔ブラシピンク大　洗顔　熊野筆</t>
  </si>
  <si>
    <t>23-49</t>
  </si>
  <si>
    <t>【ふるさと納税】熊野化粧筆　ベーシックセット（軸色：赤）　メイクブラシ　熊野筆　化粧筆</t>
  </si>
  <si>
    <t>21-34</t>
  </si>
  <si>
    <t>【ふるさと納税】熊野筆　書筆　小筆2本セット　小筆　伝統工芸品　書道　書家　文字　手書き　手描き　文房具</t>
  </si>
  <si>
    <t>13-9</t>
  </si>
  <si>
    <t>【ふるさと納税】熊野化粧筆　チークブラシ(粗光峰) 　軸色：黒　ギフトBOX　メイクブラシ　熊野筆　化粧筆</t>
  </si>
  <si>
    <t>21-19</t>
  </si>
  <si>
    <t>【ふるさと納税】コペック自慢の昔ながらのお菓子詰め合わせ お菓子 焼き菓子 スイーツ チョコレート 熊野町</t>
  </si>
  <si>
    <t>【ふるさと納税】熊野化粧筆　宙高級ブラシ3本＆ケース　ピンクゴールド （限定チーク）　熊野筆　化粧筆　メイクブラシ　チーク　シャドーライナー　アイブロー　化粧筆セット　化粧ブラシ</t>
  </si>
  <si>
    <t>27-140</t>
  </si>
  <si>
    <t>【ふるさと納税】熊野化粧筆　2024限定クリスマスギフト３本＆ケース　メイクブラシ　熊野筆　化粧筆　チーク　アイシャドー　シャドーライナー　化粧ブラシ　化粧筆セット</t>
  </si>
  <si>
    <t>27-145</t>
  </si>
  <si>
    <t>【ふるさと納税】熊野化粧筆　2024限定クリスマスギフト ノエル4本　メイクブラシ　熊野筆　化粧筆</t>
  </si>
  <si>
    <t>27-150</t>
  </si>
  <si>
    <t>【ふるさと納税】熊野化粧筆　SU/I パウダーブラシ　メイクブラシ　熊野筆　化粧筆</t>
  </si>
  <si>
    <t>【ふるさと納税】熊野筆　書筆２本セット(天岳・歌仙)　伝統工芸品　書道　書家　文字　手書き　手描き　文房具</t>
  </si>
  <si>
    <t>41-2</t>
  </si>
  <si>
    <t>【ふるさと納税】熊野化粧筆　 ピンクパール３本セット【高級化粧筆２本セット＋洗顔ブラシ（抗菌加工）】　メイクブラシ　熊野筆　化粧筆</t>
  </si>
  <si>
    <t>【ふるさと納税】熊野化粧筆　豊玉姫3本＆ケース(ピンク)　メイクブラシ　熊野筆　化粧筆</t>
  </si>
  <si>
    <t>27-67</t>
  </si>
  <si>
    <t>【ふるさと納税】熊野化粧筆　３Ｄフェイスブラシ（ロング軸）　メイクブラシ　熊野筆　化粧筆</t>
  </si>
  <si>
    <t>23-77</t>
  </si>
  <si>
    <t>【ふるさと納税】熊野化粧筆　HEART CLEAR PINK２本セット　メイクブラシ　熊野筆　化粧筆</t>
  </si>
  <si>
    <t>23-84</t>
  </si>
  <si>
    <t>【ふるさと納税】熊野化粧筆　アイシャドウブラシ　KQ11G　メイクブラシ　熊野筆　化粧筆</t>
  </si>
  <si>
    <t>21-74</t>
  </si>
  <si>
    <t>【ふるさと納税】熊野化粧筆　回転式携帯リップブラシ　メイクブラシ　熊野筆　化粧筆</t>
  </si>
  <si>
    <t>21-9</t>
  </si>
  <si>
    <t>【ふるさと納税】熊野化粧筆　洗顔ブラシ　ピンク　特許取得・抗菌加工　熊野筆　化粧筆　洗顔</t>
  </si>
  <si>
    <t>22-2</t>
  </si>
  <si>
    <t>【ふるさと納税】熊野化粧筆　2本セット　Aタイプ　メイクブラシ　熊野筆　化粧筆</t>
  </si>
  <si>
    <t>【ふるさと納税】熊野化粧筆【男女兼用】ハート洗顔ブラシペアセット　洗顔　熊野筆</t>
  </si>
  <si>
    <t>23-47</t>
  </si>
  <si>
    <t>【ふるさと納税】熊野筆　書家向け　かな・詩文書用書き比べ２本セット　伝統工芸品　書道　書家　文字　手書き　手描き　文房具</t>
  </si>
  <si>
    <t>【ふるさと納税】熊野化粧筆　S１チーク　熊野筆　伝統工芸品</t>
  </si>
  <si>
    <t>16-14</t>
  </si>
  <si>
    <t>【ふるさと納税】熊野筆　書筆 伝統工芸士作 2本セット　大筆　小筆　伝統工芸品　書道　書家　文字　手書き　手描き　文房具</t>
  </si>
  <si>
    <t>【ふるさと納税】熊野化粧筆　律2本＆ケース（ゴールド）　メイクブラシ　熊野筆　化粧筆</t>
  </si>
  <si>
    <t>27-115</t>
  </si>
  <si>
    <t>【ふるさと納税】熊野化粧筆　Sakura tree 細光峰チークブラシ　メイクブラシ　熊野筆　化粧筆</t>
  </si>
  <si>
    <t>23-66</t>
  </si>
  <si>
    <t>【ふるさと納税】熊野化粧筆　咲fude 2本セット　メイクブラシ　熊野筆　化粧筆</t>
  </si>
  <si>
    <t>17-2</t>
  </si>
  <si>
    <t>【ふるさと納税】熊野化粧筆　ハートフェイスブラシ（ホワイト＆ピンク）　メイクブラシ　熊野筆　化粧筆　チーク　ハイライト</t>
  </si>
  <si>
    <t>23-75</t>
  </si>
  <si>
    <t>【ふるさと納税】熊野化粧筆　蒔絵携帯筆（牡丹と蝶）　メイクブラシ　熊野筆　化粧筆</t>
  </si>
  <si>
    <t>24-7</t>
  </si>
  <si>
    <t>【ふるさと納税】熊野化粧筆　ふんわりチークブラシ　ドット黒軸　チークブラシ　熊野筆　メイクブラシ</t>
  </si>
  <si>
    <t>23-83</t>
  </si>
  <si>
    <t>【ふるさと納税】熊野化粧筆【H-02】ハート型チークブラシ　メイクブラシ　熊野筆　化粧筆</t>
  </si>
  <si>
    <t>14-42</t>
  </si>
  <si>
    <t>【ふるさと納税】熊野化粧筆【H-06】ハート型チークブラシ　メイクブラシ　熊野筆　化粧筆</t>
  </si>
  <si>
    <t>14-46</t>
  </si>
  <si>
    <t>【ふるさと納税】熊野化粧筆【H-08】ハート型チークブラシ　メイクブラシ　熊野筆　化粧筆</t>
  </si>
  <si>
    <t>14-48</t>
  </si>
  <si>
    <t>41-6</t>
  </si>
  <si>
    <t>16-29</t>
  </si>
  <si>
    <t>【ふるさと納税】【熊野町特産品】安芸大黒　黒えだまめ(約１ｋｇ)熊野町産　枝豆　大豆　豆</t>
  </si>
  <si>
    <t>38-2</t>
  </si>
  <si>
    <t>【ふるさと納税】熊野化粧筆　アイラインブラシ2本セット　メイクブラシ　熊野筆　化粧筆</t>
  </si>
  <si>
    <t>21-54</t>
  </si>
  <si>
    <t>【ふるさと納税】文宏堂　熊野化粧筆　パウダー＆チークブラシセット　HB1　メイクブラシ　熊野筆　化粧筆</t>
  </si>
  <si>
    <t>49-3</t>
  </si>
  <si>
    <t>【ふるさと納税】文宏堂　熊野化粧筆　携帯用リップブラシ(平タイプ)　MB009　ピンク　メイクブラシ　熊野筆　化粧筆</t>
  </si>
  <si>
    <t>49-9</t>
  </si>
  <si>
    <t>【ふるさと納税】清酒　大号令　蔵生地　720ml　日本酒　地酒</t>
  </si>
  <si>
    <t>15-9</t>
  </si>
  <si>
    <t>【ふるさと納税】熊野化粧筆　men's洗顔ブラシ　洗顔　熊野筆</t>
  </si>
  <si>
    <t>23-32</t>
  </si>
  <si>
    <t>【ふるさと納税】熊野化粧筆　3Dチークブラシ　　チーク　熊野筆　化粧筆　メイクブラシ　ヤギ　山羊</t>
  </si>
  <si>
    <t>23-37</t>
  </si>
  <si>
    <t>27-133</t>
  </si>
  <si>
    <t>【ふるさと納税】熊野化粧筆　白-Haku-と凪-Nagi-の人気セット＆ケース　メイクブラシ　熊野筆　化粧筆</t>
  </si>
  <si>
    <t>27-158</t>
  </si>
  <si>
    <t>【ふるさと納税】熊野化粧筆【つむぎあふ】黒梅　メイクブラシ　熊野筆　化粧筆</t>
  </si>
  <si>
    <t>【ふるさと納税】熊野化粧筆【つむぎあふ】赤梅　メイクブラシ　熊野筆　化粧筆</t>
  </si>
  <si>
    <t>14-51</t>
  </si>
  <si>
    <t>【ふるさと納税】熊野化粧筆　チークブラシ(粗光峰) JWQ20　ギフトBOX（軸色：青）　メイクブラシ　熊野筆　化粧筆</t>
  </si>
  <si>
    <t>【ふるさと納税】熊野化粧筆　ミニばらパウダーブラシ　イエロー　メイクブラシ　熊野筆　化粧筆</t>
  </si>
  <si>
    <t>23-17</t>
  </si>
  <si>
    <t>【ふるさと納税】熊野化粧筆　肉球携帯ブラシピンク　メイクブラシ　熊野筆　化粧筆</t>
  </si>
  <si>
    <t>23-30</t>
  </si>
  <si>
    <t>【ふるさと納税】熊野化粧筆　洗顔ブラシ2本セット　青　特許取得・抗菌加工　熊野筆　化粧筆　洗顔</t>
  </si>
  <si>
    <t>【ふるさと納税】熊野化粧筆　洗顔ブラシ2本セット　赤　特許取得・抗菌加工　熊野筆　化粧筆　洗顔</t>
  </si>
  <si>
    <t>22-20</t>
  </si>
  <si>
    <t>【ふるさと納税】熊野化粧筆　ミニばらパウダーブラシ　コバルトブルー　メイクブラシ　熊野筆　化粧筆</t>
  </si>
  <si>
    <t>【ふるさと納税】熊野化粧筆　CHERRY携帯用メイクブラシ2本セット　化粧筆　2本セット　携帯</t>
  </si>
  <si>
    <t>45-3</t>
  </si>
  <si>
    <t>【ふるさと納税】熊野化粧筆　大人の高級ブラシ2本＆ケース　メイクブラシ　熊野筆　化粧筆</t>
  </si>
  <si>
    <t>27-101</t>
  </si>
  <si>
    <t>【ふるさと納税】熊野筆　書筆　実用書用　高級イタチ毛　行成　イタチ　伝統工芸品　書道　書家　文字　手書き　手描き　文房具</t>
  </si>
  <si>
    <t>【ふるさと納税】熊野筆　絵てがみ三昧　書筆　絵筆 　伝統工芸品　日本画　水彩画　刷毛　文字　手書き　手描き　文房具</t>
  </si>
  <si>
    <t>16-12</t>
  </si>
  <si>
    <t>【ふるさと納税】熊野化粧筆　フェイスブラシ(桐箱入り)　桐箱：平和（折り鶴柄）　熊野筆　フェイス　ヤギ　山羊　桐箱</t>
  </si>
  <si>
    <t>45-9</t>
  </si>
  <si>
    <t>【ふるさと納税】熊野化粧筆　CHERRY5本＆ブラシケースセット　ケース：ベージュ　熊野筆　メイクブラシ　化粧筆　5本セット　ケース</t>
  </si>
  <si>
    <t>45-12</t>
  </si>
  <si>
    <t>【ふるさと納税】熊野筆　書筆　伝統工芸士作 大筆　伝統工芸品　書道　書家　文字　手書き　手描き　文房具</t>
  </si>
  <si>
    <t>13-5</t>
  </si>
  <si>
    <t>【ふるさと納税】熊野町観光大使「ふでりん」 クッション・ブランケット・コインパースのセット ゆるキャラ ご当地 キャラクター グッズ ひざ掛け 小銭入れ</t>
  </si>
  <si>
    <t>【ふるさと納税】熊野化粧筆　咲fude　リップブラシ　メイクブラシ　熊野筆　化粧筆</t>
  </si>
  <si>
    <t>【ふるさと納税】熊野化粧筆　マイメロディ携帯用ブラシ＆携帯リップブラシセット　メイクブラシ　熊野筆　化粧筆</t>
  </si>
  <si>
    <t>23-70</t>
  </si>
  <si>
    <t>【ふるさと納税】熊野筆　上絵刷毛Ａ３０　伝統工芸品　日本画　水彩画　刷毛　文字　手書き　手描き　文房具</t>
  </si>
  <si>
    <t>42-2</t>
  </si>
  <si>
    <t>【ふるさと納税】熊野化粧筆 チークブラシ メイクアップ ポニー （ふるさと納税限定）</t>
  </si>
  <si>
    <t>22-32</t>
  </si>
  <si>
    <t>16-25</t>
  </si>
  <si>
    <t>【ふるさと納税】熊野化粧筆　アイシャドウブラシ　CQ12S　毛丈：ショート　メイクブラシ　熊野筆　化粧筆</t>
  </si>
  <si>
    <t>21-68</t>
  </si>
  <si>
    <t>【ふるさと納税】文宏堂　熊野筆　四号鼬筆(イタチ入り)　半紙・漢字用　伝統工芸品　書道　書家　文字　手書き　手描き　文房具</t>
  </si>
  <si>
    <t>【ふるさと納税】文宏堂　熊野筆　細筆　小筆　玉瑛　常用細字　伝統工芸品　書道　書家　文字　手書き　手描き　文房具</t>
  </si>
  <si>
    <t>49-15</t>
  </si>
  <si>
    <t>【ふるさと納税】清酒　大号令　蔵生地　1.8L　　日本酒　地酒</t>
  </si>
  <si>
    <t>15-10</t>
  </si>
  <si>
    <t>【ふるさと納税】熊野筆　写経筆(ギフト箱入り・名入れ可)　書筆　伝統工芸品　書道　書家　文字　手書き　手描き　文房具</t>
  </si>
  <si>
    <t>【ふるさと納税】熊野化粧筆　洗顔ブラシ　水色　特許取得・抗菌加工　熊野筆　化粧筆　洗顔</t>
  </si>
  <si>
    <t>22-18</t>
  </si>
  <si>
    <t>【ふるさと納税】 熊野化粧筆　アーティストリー　チークブラシ　メイクブラシ　熊野筆　化粧筆</t>
  </si>
  <si>
    <t>28-2</t>
  </si>
  <si>
    <t>【ふるさと納税】熊野化粧筆【CA-03】カープ洗顔ブラシ　熊野筆　カープ　carp　野球　広島東洋カープ　洗顔　洗顔ブラシ</t>
  </si>
  <si>
    <t>【ふるさと納税】熊野化粧筆　ミネラルパウダーファンデーションブラシ【フラット】黒軸　チーク　熊野筆　化粧筆　メイクブラシ　ヤギ　山羊</t>
  </si>
  <si>
    <t>23-50</t>
  </si>
  <si>
    <t>【ふるさと納税】熊野筆　書筆　人気の書道筆と筆シャンのセット　馬　シャンプー　伝統工芸品　書道　書家　文字　手書き　手描き　文房具</t>
  </si>
  <si>
    <t>27-80</t>
  </si>
  <si>
    <t>【ふるさと納税】熊野化粧筆　洗顔筆（大）　洗顔ブラシ　熊野筆　化粧筆</t>
  </si>
  <si>
    <t>24-8</t>
  </si>
  <si>
    <t>【ふるさと納税】熊野化粧筆 フラワー洗顔　熊野筆　化粧筆　洗顔</t>
  </si>
  <si>
    <t>14-40</t>
  </si>
  <si>
    <t>【ふるさと納税】熊野化粧筆【H-01】ハート型チークブラシ　メイクブラシ　熊野筆　化粧筆</t>
  </si>
  <si>
    <t>14-41</t>
  </si>
  <si>
    <t>【ふるさと納税】熊野化粧筆【H-05】ハート型チークブラシ　メイクブラシ　熊野筆　化粧筆</t>
  </si>
  <si>
    <t>14-45</t>
  </si>
  <si>
    <t>【ふるさと納税】熊野筆　特製　墨禅　伝統工芸品　日本画　水彩画　刷毛　文字　手書き　手描き　文房具</t>
  </si>
  <si>
    <t>42-5</t>
  </si>
  <si>
    <t>21-44</t>
  </si>
  <si>
    <t>【ふるさと納税】文宏堂　熊野化粧筆　チークブラシ　HB015　メイクブラシ　熊野筆　化粧筆</t>
  </si>
  <si>
    <t>49-1</t>
  </si>
  <si>
    <t>【ふるさと納税】文宏堂　熊野筆　短鋒和剛　半紙・漢字用　伝統工芸品　書道　書家　文字　手書き　手描き　文房具</t>
  </si>
  <si>
    <t>49-11</t>
  </si>
  <si>
    <t>【ふるさと納税】文宏堂　熊野筆　細筆　小筆　萌木　常用細字　伝統工芸品　書道　書家　文字　手書き　手描き　文房具</t>
  </si>
  <si>
    <t>49-14</t>
  </si>
  <si>
    <t>【ふるさと納税】野菜が好きになる　やさいくだものかるた</t>
  </si>
  <si>
    <t>【ふるさと納税】熊野絵筆 IRODORI 烏　熊野筆　絵筆　書筆</t>
  </si>
  <si>
    <t>【ふるさと納税】熊野化粧筆　いちごチークブラシ【パープル】　チーク　熊野筆　化粧筆　メイクブラシ　ヤギ　山羊</t>
  </si>
  <si>
    <t>23-54</t>
  </si>
  <si>
    <t>【ふるさと納税】熊野化粧筆　ハローキティ携帯用ブラシ(リボン)＆携帯リップブラシセット　メイクブラシ　熊野筆　化粧筆</t>
  </si>
  <si>
    <t>23-67</t>
  </si>
  <si>
    <t>【ふるさと納税】熊野化粧筆　シナモロール携帯用ブラシ＆携帯リップブラシセット　メイクブラシ　熊野筆　化粧筆</t>
  </si>
  <si>
    <t>23-69</t>
  </si>
  <si>
    <t>【ふるさと納税】文宏堂　熊野筆　三号兼毫筆　半紙・漢字用　伝統工芸品　書道　書家　文字　手書き　手描き　文房具</t>
  </si>
  <si>
    <t>順位</t>
  </si>
  <si>
    <t>検索キーワード</t>
  </si>
  <si>
    <t>割合</t>
  </si>
  <si>
    <t>ふるさと納税</t>
  </si>
  <si>
    <t>熊野筆</t>
  </si>
  <si>
    <t>ふるさと納税 熊野筆</t>
  </si>
  <si>
    <t>メイクブラシ</t>
  </si>
  <si>
    <t>ふるさと納税 メイクブラシ</t>
  </si>
  <si>
    <t>化粧筆</t>
  </si>
  <si>
    <t>ふるさと納税 化粧筆</t>
  </si>
  <si>
    <t>熊野筆 ふるさと納税</t>
  </si>
  <si>
    <t>白鳳堂</t>
  </si>
  <si>
    <t>ふるさと納税メイクブラシ</t>
  </si>
  <si>
    <t>白鳳堂 ブラシ</t>
  </si>
  <si>
    <t>ふるさと納税 ブラシ</t>
  </si>
  <si>
    <t>ふるさと納税 メイク</t>
  </si>
  <si>
    <t>ふるさと納税 白鳳堂</t>
  </si>
  <si>
    <t>化粧ブラシ</t>
  </si>
  <si>
    <t>ふるさと納税 資生堂</t>
  </si>
  <si>
    <t>ふるさと納税熊野筆</t>
  </si>
  <si>
    <t>ふるさと納税 筆</t>
  </si>
  <si>
    <t>ふるさと納税 コスメデコルテ</t>
  </si>
  <si>
    <t>熊野筆ふるさと納税</t>
  </si>
  <si>
    <t>熊野化粧筆</t>
  </si>
  <si>
    <t>メイク</t>
  </si>
  <si>
    <t>ふるさと納税 化粧ブラシ</t>
  </si>
  <si>
    <t>ブラシ</t>
  </si>
  <si>
    <t>筆</t>
  </si>
  <si>
    <t>アイシャドウ</t>
  </si>
  <si>
    <t>メイクブラシ ふるさと納税</t>
  </si>
  <si>
    <t>ふるさと納税 白鳳</t>
  </si>
  <si>
    <t>ふるさと納税 化粧</t>
  </si>
  <si>
    <t>ふるさと納税 アイシャドウ</t>
  </si>
  <si>
    <t>熊野</t>
  </si>
  <si>
    <t>ふるさと納税化粧筆</t>
  </si>
  <si>
    <t>フェイスブラシ</t>
  </si>
  <si>
    <t>チークブラシ</t>
  </si>
  <si>
    <t>ふるさと納税 熊野化粧筆</t>
  </si>
  <si>
    <t>竹宝堂</t>
  </si>
  <si>
    <t>パウダーブラシ</t>
  </si>
  <si>
    <t>ふるさと納税 チークブラシ</t>
  </si>
  <si>
    <t>熊野筆 メイクブラシ</t>
  </si>
  <si>
    <t>熊野筆 ふるさと納税 竹宝堂</t>
  </si>
  <si>
    <t>ふるさと納税 フェイスブラシ</t>
  </si>
  <si>
    <t>熊野 筆 ボディー ブラシ</t>
  </si>
  <si>
    <t>熊野筆ボディブラシ</t>
  </si>
  <si>
    <t>熊野筆 ボディブラシ</t>
  </si>
  <si>
    <t>ふるさと納税 ファンデーション</t>
  </si>
  <si>
    <t>ファンデーション</t>
  </si>
  <si>
    <t>化粧筆 ふるさと納税</t>
  </si>
  <si>
    <t>ファンデーションブラシ</t>
  </si>
  <si>
    <t>ふるさと納税 仿古堂</t>
  </si>
  <si>
    <t>ふるさと納税 ファンデーションブラシ</t>
  </si>
  <si>
    <t>熊野筆 ふるさとメイクブラシ</t>
  </si>
  <si>
    <t>画材</t>
  </si>
  <si>
    <t>書道</t>
  </si>
  <si>
    <t>熊野筆 メイクブラシセット</t>
  </si>
  <si>
    <t>ふるさと納税 リップブラシ</t>
  </si>
  <si>
    <t>ふるさと納税 熊野</t>
  </si>
  <si>
    <t>白鳳堂 化粧筆</t>
  </si>
  <si>
    <t>ふるさと納税 パウダーブラシ</t>
  </si>
  <si>
    <t>ふるさと納税 書道</t>
  </si>
  <si>
    <t>ボディブラシ</t>
  </si>
  <si>
    <t>熊野筆 白鳳堂</t>
  </si>
  <si>
    <t>jiva body brush soft</t>
  </si>
  <si>
    <t>化粧 筆</t>
  </si>
  <si>
    <t>ふるさと納税 竹宝堂</t>
  </si>
  <si>
    <t>ふるさと納税 化粧品 資生堂</t>
  </si>
  <si>
    <t>ふるさと納税化粧ブラシ</t>
  </si>
  <si>
    <t>ふるさと納税 アイシャドウブラシ</t>
  </si>
  <si>
    <t>ふるさと納税 熊野筆 竹宝堂</t>
  </si>
  <si>
    <t>リップブラシ</t>
  </si>
  <si>
    <t>ふるさと納税 熊野筆 フェイスブラシ</t>
  </si>
  <si>
    <t>ふるさと納税 画材</t>
  </si>
  <si>
    <t>ふるさと納税 シュウウエムラ</t>
  </si>
  <si>
    <t>ふるさと納税 カネボウ</t>
  </si>
  <si>
    <t>ふるさと 熊野筆</t>
  </si>
  <si>
    <t>ふるさと納税 ヘアブラシ</t>
  </si>
  <si>
    <t>白鳳堂 ふるさと納税</t>
  </si>
  <si>
    <t>熊野化粧筆 ふるさと</t>
  </si>
  <si>
    <t>熊野化粧筆 ふるさと納税</t>
  </si>
  <si>
    <t>竹宝堂 ふるさと納税</t>
  </si>
  <si>
    <t>ふるさと納税 工芸品</t>
  </si>
  <si>
    <t>熊野筆 ふるさと</t>
  </si>
  <si>
    <t>ふるさと納税 ボディブラシ</t>
  </si>
  <si>
    <t>熊野筆 チークブラシ</t>
  </si>
  <si>
    <t>ふるさと納税 熊野町</t>
  </si>
  <si>
    <t>アイシャドウブラシ</t>
  </si>
  <si>
    <t>書道 筆</t>
  </si>
  <si>
    <t>熊肉</t>
  </si>
  <si>
    <t>ふるさと納税 熊肉</t>
  </si>
  <si>
    <t>メイクブラシ 熊野筆</t>
  </si>
  <si>
    <t>メイク ブラシ</t>
  </si>
  <si>
    <t>ふるさと納税 洗顔</t>
  </si>
  <si>
    <t>ふるさと納税 lush</t>
  </si>
  <si>
    <t>ふるさと納税 洗顔ブラシ</t>
  </si>
  <si>
    <t>リップ</t>
  </si>
  <si>
    <t>熊野 ボディ ブラシ</t>
  </si>
  <si>
    <t>熊野ボディブラシ</t>
  </si>
  <si>
    <t>ふるさと納税 チーク</t>
  </si>
  <si>
    <t>ふるさと納税熊野化粧筆</t>
  </si>
  <si>
    <r>
      <rPr>
        <b/>
        <sz val="11"/>
        <color rgb="FFFFFFFF"/>
        <rFont val="ＭＳ ゴシック"/>
        <family val="3"/>
        <charset val="128"/>
      </rPr>
      <t>予算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ＭＳ ゴシック"/>
        <family val="3"/>
        <charset val="128"/>
      </rPr>
      <t>税抜</t>
    </r>
    <r>
      <rPr>
        <b/>
        <sz val="11"/>
        <color rgb="FFFFFFFF"/>
        <rFont val="Cambria"/>
        <family val="1"/>
      </rPr>
      <t>)</t>
    </r>
    <phoneticPr fontId="4"/>
  </si>
  <si>
    <t>imp</t>
  </si>
  <si>
    <t>クリック</t>
  </si>
  <si>
    <t>CTR</t>
  </si>
  <si>
    <t>CVR</t>
  </si>
  <si>
    <t>消化額</t>
  </si>
  <si>
    <t>寄付件数</t>
  </si>
  <si>
    <t>寄付経由額</t>
  </si>
  <si>
    <t>ROAS</t>
  </si>
  <si>
    <t>品ID</t>
  </si>
  <si>
    <t>品名</t>
  </si>
  <si>
    <t>白鳳堂　化粧筆3本セット</t>
  </si>
  <si>
    <t>熊野化粧筆　フェイスパウダー筆</t>
  </si>
  <si>
    <t>熊野化粧筆　メイクブラシ デラックス・７本セット ホワイトパール[ショート軸タイプ]</t>
  </si>
  <si>
    <t>熊野化粧筆 レッドパール5本セット(ポーチ付)  BR-S-2</t>
  </si>
  <si>
    <t>熊野化粧筆　凪フルセット＆ケース</t>
  </si>
  <si>
    <t>熊野化粧筆　灰リス100%ブラシ2本セット(パウダー・チーク)</t>
  </si>
  <si>
    <t>熊野化粧筆　アイメイクセット</t>
  </si>
  <si>
    <t>熊野化粧筆　SS1-4パウダー　粗光峰</t>
  </si>
  <si>
    <t>花型ボディブラシ（柄付） 熊野筆</t>
  </si>
  <si>
    <t>熊野化粧筆　携帯3本セット(携帯用パウダー、チーク、シャドーライナー)</t>
  </si>
  <si>
    <t>熊野化粧筆　パーフェクト6本セット</t>
  </si>
  <si>
    <t>熊野化粧筆　FOシリーズ９点セット</t>
  </si>
  <si>
    <t>熊野化粧筆　メイクブラシ5点セット・レッドパール（灰リス１００％チークS）BR-11</t>
  </si>
  <si>
    <t>熊野化粧筆　セレクション3本セット</t>
  </si>
  <si>
    <t>熊野化粧筆　Zシリーズ１０点セット</t>
  </si>
  <si>
    <t>熊野化粧筆　FOシリーズ５点セット</t>
  </si>
  <si>
    <t>熊野化粧筆　?シリーズ８点セット</t>
  </si>
  <si>
    <t>熊野化粧筆　Yoshiki6本セット　リップ付き</t>
  </si>
  <si>
    <t>熊野化粧筆　SSマストアイテムセット</t>
  </si>
  <si>
    <t>キャンペーン名</t>
  </si>
  <si>
    <t>広告運用開始</t>
    <rPh sb="0" eb="6">
      <t>コウコクウンヨウカイシ</t>
    </rPh>
    <phoneticPr fontId="4"/>
  </si>
  <si>
    <t>2025年11月01日～2025年11月30日</t>
  </si>
  <si>
    <t>0.35</t>
  </si>
  <si>
    <t>0.63</t>
  </si>
  <si>
    <t>0.88</t>
  </si>
  <si>
    <t>0.60</t>
  </si>
  <si>
    <t>https://item.rakuten.co.jp/f343072-kumano/46-28/</t>
  </si>
  <si>
    <t>1.63</t>
  </si>
  <si>
    <t>0.75</t>
  </si>
  <si>
    <t>34</t>
  </si>
  <si>
    <t>350</t>
  </si>
  <si>
    <t>0.85</t>
  </si>
  <si>
    <t>0.59</t>
  </si>
  <si>
    <t>780</t>
  </si>
  <si>
    <t>3.84</t>
  </si>
  <si>
    <t>1923.07</t>
  </si>
  <si>
    <t>7.69</t>
  </si>
  <si>
    <t>4487.17</t>
  </si>
  <si>
    <t>162</t>
  </si>
  <si>
    <t>https://item.rakuten.co.jp/f343072-kumano/42-1/</t>
  </si>
  <si>
    <t>0.17</t>
  </si>
  <si>
    <t>102</t>
  </si>
  <si>
    <t>2024</t>
  </si>
  <si>
    <t>1964</t>
  </si>
  <si>
    <t>39</t>
  </si>
  <si>
    <t>677</t>
  </si>
  <si>
    <t>2.56</t>
  </si>
  <si>
    <t>1477.10</t>
  </si>
  <si>
    <t>52</t>
  </si>
  <si>
    <t>550</t>
  </si>
  <si>
    <t>51</t>
  </si>
  <si>
    <t>540</t>
  </si>
  <si>
    <t>0.37</t>
  </si>
  <si>
    <t>https://item.rakuten.co.jp/f343072-kumano/27-97/</t>
  </si>
  <si>
    <t>27-97</t>
  </si>
  <si>
    <t>https://item.rakuten.co.jp/f343072-kumano/27-89/</t>
  </si>
  <si>
    <t>1040</t>
  </si>
  <si>
    <t>1010</t>
  </si>
  <si>
    <t>19230.76</t>
  </si>
  <si>
    <t>https://item.rakuten.co.jp/f343072-kumano/26-38/</t>
  </si>
  <si>
    <t>https://item.rakuten.co.jp/f343072-kumano/25-3/</t>
  </si>
  <si>
    <t>0.64</t>
  </si>
  <si>
    <t>https://item.rakuten.co.jp/f343072-kumano/23-58/</t>
  </si>
  <si>
    <t>290</t>
  </si>
  <si>
    <t>https://item.rakuten.co.jp/f343072-kumano/23-45/</t>
  </si>
  <si>
    <t>71</t>
  </si>
  <si>
    <t>750</t>
  </si>
  <si>
    <t>229</t>
  </si>
  <si>
    <t>https://item.rakuten.co.jp/f343072-kumano/23-17/</t>
  </si>
  <si>
    <t>0.43</t>
  </si>
  <si>
    <t>360</t>
  </si>
  <si>
    <t>0.81</t>
  </si>
  <si>
    <t>0.77</t>
  </si>
  <si>
    <t>45</t>
  </si>
  <si>
    <t>470</t>
  </si>
  <si>
    <t>295</t>
  </si>
  <si>
    <t>1.05</t>
  </si>
  <si>
    <t>0.56</t>
  </si>
  <si>
    <t>2.22</t>
  </si>
  <si>
    <t>https://item.rakuten.co.jp/f343072-kumano/21-54/</t>
  </si>
  <si>
    <t>0.69</t>
  </si>
  <si>
    <t>0.54</t>
  </si>
  <si>
    <t>43</t>
  </si>
  <si>
    <t>370</t>
  </si>
  <si>
    <t>357</t>
  </si>
  <si>
    <t>710</t>
  </si>
  <si>
    <t>680</t>
  </si>
  <si>
    <t>68</t>
  </si>
  <si>
    <t>30422</t>
  </si>
  <si>
    <t>4663950</t>
  </si>
  <si>
    <t>4944100</t>
  </si>
  <si>
    <t>5059709</t>
  </si>
  <si>
    <t>5219704</t>
  </si>
  <si>
    <t>5219705</t>
  </si>
  <si>
    <t>5726392</t>
  </si>
  <si>
    <t>5731118</t>
  </si>
  <si>
    <t>5731119</t>
  </si>
  <si>
    <t>5731122</t>
  </si>
  <si>
    <t>5876871</t>
  </si>
  <si>
    <t>6216250</t>
  </si>
  <si>
    <t>6216255</t>
  </si>
  <si>
    <t>6216258</t>
  </si>
  <si>
    <t>6216259</t>
  </si>
  <si>
    <t>6323345</t>
  </si>
  <si>
    <t>6409360</t>
  </si>
  <si>
    <t>6415137</t>
  </si>
  <si>
    <t>6525229</t>
  </si>
  <si>
    <t>6631470</t>
  </si>
  <si>
    <t>商品追加&amp;キーワード対策</t>
    <rPh sb="10" eb="12">
      <t>タイサク</t>
    </rPh>
    <phoneticPr fontId="4"/>
  </si>
  <si>
    <t>CPC10円+10円</t>
    <rPh sb="5" eb="6">
      <t>エン</t>
    </rPh>
    <rPh sb="9" eb="10">
      <t>エン</t>
    </rPh>
    <phoneticPr fontId="4"/>
  </si>
  <si>
    <t>熊野化粧筆　凛3本セット</t>
  </si>
  <si>
    <t>熊野化粧筆　SHAQUDA　ジーヴァ　ボディブラシ　ソフト</t>
  </si>
  <si>
    <t>熊野化粧筆　宙プレミアムブラシ8本＆ケース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</si>
</sst>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charset val="1"/>
    </font>
    <font>
      <sz val="11"/>
      <color theme="1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Cambria"/>
      <family val="1"/>
    </font>
    <font>
      <sz val="6"/>
      <name val="ＭＳ Ｐゴシック"/>
      <family val="3"/>
      <charset val="128"/>
    </font>
    <font>
      <sz val="11"/>
      <color theme="1"/>
      <name val="Calibri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b/>
      <sz val="10"/>
      <color rgb="FFFFFFFF"/>
      <name val="Noto Sans CJK SC"/>
      <family val="2"/>
    </font>
    <font>
      <sz val="10"/>
      <color theme="1"/>
      <name val="Calibri"/>
      <family val="2"/>
      <charset val="1"/>
    </font>
    <font>
      <sz val="10"/>
      <color theme="1"/>
      <name val="Noto Sans CJK SC"/>
      <family val="2"/>
    </font>
    <font>
      <sz val="10"/>
      <color theme="1"/>
      <name val="ＭＳ Ｐゴシック"/>
      <family val="2"/>
      <charset val="128"/>
    </font>
    <font>
      <sz val="10"/>
      <color theme="1"/>
      <name val="ＭＳ ゴシック"/>
      <family val="3"/>
      <charset val="128"/>
    </font>
    <font>
      <sz val="10"/>
      <color theme="1"/>
      <name val="游ゴシック"/>
      <family val="2"/>
      <charset val="128"/>
    </font>
    <font>
      <sz val="10"/>
      <color theme="1"/>
      <name val="Calibri"/>
      <family val="2"/>
    </font>
    <font>
      <sz val="11"/>
      <color theme="1"/>
      <name val="MS UI Gothic"/>
      <family val="2"/>
      <charset val="1"/>
    </font>
    <font>
      <sz val="11"/>
      <color theme="1"/>
      <name val="MS UI Gothic"/>
      <family val="2"/>
      <charset val="128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b/>
      <sz val="11"/>
      <color rgb="FFFFFFFF"/>
      <name val="ＭＳ ゴシック"/>
      <family val="3"/>
      <charset val="128"/>
    </font>
    <font>
      <b/>
      <sz val="11"/>
      <color rgb="FFFFFFFF"/>
      <name val="Noto Sans CJK SC"/>
      <family val="3"/>
      <charset val="128"/>
    </font>
    <font>
      <sz val="7"/>
      <color rgb="FFBF0000"/>
      <name val="Arial"/>
      <family val="2"/>
    </font>
    <font>
      <sz val="7"/>
      <color rgb="FF3657A4"/>
      <name val="Arial"/>
      <family val="2"/>
    </font>
    <font>
      <sz val="10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b/>
      <sz val="10"/>
      <color theme="1"/>
      <name val="Noto Sans JP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2B579A"/>
        <bgColor rgb="FF0066CC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1F1F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rgb="FFD0D0D0"/>
      </right>
      <top/>
      <bottom style="medium">
        <color rgb="FFD0D0D0"/>
      </bottom>
      <diagonal/>
    </border>
    <border>
      <left style="medium">
        <color rgb="FFB2B2B2"/>
      </left>
      <right style="medium">
        <color rgb="FFD0D0D0"/>
      </right>
      <top style="medium">
        <color rgb="FFB2B2B2"/>
      </top>
      <bottom style="medium">
        <color rgb="FFD0D0D0"/>
      </bottom>
      <diagonal/>
    </border>
    <border>
      <left/>
      <right style="medium">
        <color rgb="FFD0D0D0"/>
      </right>
      <top style="medium">
        <color rgb="FFB2B2B2"/>
      </top>
      <bottom style="medium">
        <color rgb="FFD0D0D0"/>
      </bottom>
      <diagonal/>
    </border>
    <border>
      <left/>
      <right style="medium">
        <color rgb="FFB2B2B2"/>
      </right>
      <top style="medium">
        <color rgb="FFB2B2B2"/>
      </top>
      <bottom style="medium">
        <color rgb="FFD0D0D0"/>
      </bottom>
      <diagonal/>
    </border>
    <border>
      <left style="medium">
        <color rgb="FFB2B2B2"/>
      </left>
      <right style="medium">
        <color rgb="FFD0D0D0"/>
      </right>
      <top/>
      <bottom style="medium">
        <color rgb="FFD0D0D0"/>
      </bottom>
      <diagonal/>
    </border>
    <border>
      <left/>
      <right style="medium">
        <color rgb="FFB2B2B2"/>
      </right>
      <top/>
      <bottom style="medium">
        <color rgb="FFD0D0D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1" xfId="0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4" borderId="3" xfId="0" applyFill="1" applyBorder="1"/>
    <xf numFmtId="0" fontId="0" fillId="0" borderId="0" xfId="0" applyAlignment="1">
      <alignment vertical="center"/>
    </xf>
    <xf numFmtId="31" fontId="0" fillId="0" borderId="0" xfId="0" applyNumberFormat="1" applyAlignment="1">
      <alignment vertical="center"/>
    </xf>
    <xf numFmtId="0" fontId="5" fillId="0" borderId="0" xfId="0" applyFont="1"/>
    <xf numFmtId="0" fontId="9" fillId="3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right" vertical="center"/>
    </xf>
    <xf numFmtId="20" fontId="10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8" fillId="0" borderId="0" xfId="0" applyFont="1"/>
    <xf numFmtId="55" fontId="0" fillId="0" borderId="0" xfId="0" applyNumberFormat="1"/>
    <xf numFmtId="0" fontId="6" fillId="0" borderId="0" xfId="0" applyFont="1"/>
    <xf numFmtId="3" fontId="0" fillId="0" borderId="0" xfId="0" applyNumberFormat="1"/>
    <xf numFmtId="0" fontId="0" fillId="4" borderId="4" xfId="0" applyFill="1" applyBorder="1"/>
    <xf numFmtId="0" fontId="0" fillId="0" borderId="4" xfId="0" applyBorder="1"/>
    <xf numFmtId="0" fontId="18" fillId="5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3" fontId="19" fillId="0" borderId="5" xfId="0" applyNumberFormat="1" applyFont="1" applyBorder="1" applyAlignment="1">
      <alignment horizontal="right" vertical="center" wrapText="1"/>
    </xf>
    <xf numFmtId="10" fontId="19" fillId="0" borderId="5" xfId="0" applyNumberFormat="1" applyFont="1" applyBorder="1" applyAlignment="1">
      <alignment horizontal="right" vertical="center" wrapText="1"/>
    </xf>
    <xf numFmtId="0" fontId="19" fillId="0" borderId="5" xfId="0" applyFont="1" applyBorder="1" applyAlignment="1">
      <alignment horizontal="right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left" vertical="center" wrapText="1"/>
    </xf>
    <xf numFmtId="0" fontId="19" fillId="6" borderId="5" xfId="0" applyFont="1" applyFill="1" applyBorder="1" applyAlignment="1">
      <alignment horizontal="right" vertical="center" wrapText="1"/>
    </xf>
    <xf numFmtId="10" fontId="19" fillId="6" borderId="5" xfId="0" applyNumberFormat="1" applyFont="1" applyFill="1" applyBorder="1" applyAlignment="1">
      <alignment horizontal="right" vertical="center" wrapText="1"/>
    </xf>
    <xf numFmtId="0" fontId="21" fillId="3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55" fontId="0" fillId="0" borderId="0" xfId="0" applyNumberFormat="1" applyAlignment="1">
      <alignment vertical="center"/>
    </xf>
    <xf numFmtId="3" fontId="19" fillId="7" borderId="5" xfId="0" applyNumberFormat="1" applyFont="1" applyFill="1" applyBorder="1" applyAlignment="1">
      <alignment horizontal="right" vertical="top" wrapText="1"/>
    </xf>
    <xf numFmtId="0" fontId="19" fillId="7" borderId="5" xfId="0" applyFont="1" applyFill="1" applyBorder="1" applyAlignment="1">
      <alignment horizontal="right" vertical="top" wrapText="1"/>
    </xf>
    <xf numFmtId="10" fontId="19" fillId="7" borderId="5" xfId="0" applyNumberFormat="1" applyFont="1" applyFill="1" applyBorder="1" applyAlignment="1">
      <alignment horizontal="right" vertical="top" wrapText="1"/>
    </xf>
    <xf numFmtId="3" fontId="19" fillId="6" borderId="5" xfId="0" applyNumberFormat="1" applyFont="1" applyFill="1" applyBorder="1" applyAlignment="1">
      <alignment horizontal="right" vertical="top" wrapText="1"/>
    </xf>
    <xf numFmtId="0" fontId="19" fillId="6" borderId="5" xfId="0" applyFont="1" applyFill="1" applyBorder="1" applyAlignment="1">
      <alignment horizontal="right" vertical="top" wrapText="1"/>
    </xf>
    <xf numFmtId="10" fontId="19" fillId="6" borderId="5" xfId="0" applyNumberFormat="1" applyFont="1" applyFill="1" applyBorder="1" applyAlignment="1">
      <alignment horizontal="right" vertical="top" wrapText="1"/>
    </xf>
    <xf numFmtId="14" fontId="22" fillId="7" borderId="6" xfId="0" applyNumberFormat="1" applyFont="1" applyFill="1" applyBorder="1" applyAlignment="1">
      <alignment horizontal="center" vertical="center"/>
    </xf>
    <xf numFmtId="3" fontId="19" fillId="7" borderId="7" xfId="0" applyNumberFormat="1" applyFont="1" applyFill="1" applyBorder="1" applyAlignment="1">
      <alignment horizontal="right" vertical="top" wrapText="1"/>
    </xf>
    <xf numFmtId="0" fontId="19" fillId="7" borderId="7" xfId="0" applyFont="1" applyFill="1" applyBorder="1" applyAlignment="1">
      <alignment horizontal="right" vertical="top" wrapText="1"/>
    </xf>
    <xf numFmtId="10" fontId="19" fillId="7" borderId="7" xfId="0" applyNumberFormat="1" applyFont="1" applyFill="1" applyBorder="1" applyAlignment="1">
      <alignment horizontal="right" vertical="top" wrapText="1"/>
    </xf>
    <xf numFmtId="3" fontId="19" fillId="7" borderId="8" xfId="0" applyNumberFormat="1" applyFont="1" applyFill="1" applyBorder="1" applyAlignment="1">
      <alignment horizontal="right" vertical="top" wrapText="1"/>
    </xf>
    <xf numFmtId="14" fontId="23" fillId="7" borderId="9" xfId="0" applyNumberFormat="1" applyFont="1" applyFill="1" applyBorder="1" applyAlignment="1">
      <alignment horizontal="center" vertical="center"/>
    </xf>
    <xf numFmtId="3" fontId="19" fillId="7" borderId="10" xfId="0" applyNumberFormat="1" applyFont="1" applyFill="1" applyBorder="1" applyAlignment="1">
      <alignment horizontal="right" vertical="top" wrapText="1"/>
    </xf>
    <xf numFmtId="14" fontId="19" fillId="7" borderId="9" xfId="0" applyNumberFormat="1" applyFont="1" applyFill="1" applyBorder="1" applyAlignment="1">
      <alignment horizontal="center" vertical="center"/>
    </xf>
    <xf numFmtId="14" fontId="22" fillId="7" borderId="9" xfId="0" applyNumberFormat="1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right" vertical="top" wrapText="1"/>
    </xf>
    <xf numFmtId="14" fontId="23" fillId="6" borderId="9" xfId="0" applyNumberFormat="1" applyFont="1" applyFill="1" applyBorder="1" applyAlignment="1">
      <alignment horizontal="center" vertical="center"/>
    </xf>
    <xf numFmtId="3" fontId="19" fillId="6" borderId="10" xfId="0" applyNumberFormat="1" applyFont="1" applyFill="1" applyBorder="1" applyAlignment="1">
      <alignment horizontal="right" vertical="top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14" fontId="24" fillId="9" borderId="1" xfId="0" applyNumberFormat="1" applyFont="1" applyFill="1" applyBorder="1" applyAlignment="1">
      <alignment horizontal="right" vertical="center"/>
    </xf>
    <xf numFmtId="20" fontId="24" fillId="9" borderId="1" xfId="0" applyNumberFormat="1" applyFont="1" applyFill="1" applyBorder="1" applyAlignment="1">
      <alignment horizontal="right" vertical="center"/>
    </xf>
    <xf numFmtId="0" fontId="24" fillId="9" borderId="1" xfId="0" applyFont="1" applyFill="1" applyBorder="1" applyAlignment="1">
      <alignment horizontal="right" vertical="center"/>
    </xf>
    <xf numFmtId="0" fontId="25" fillId="10" borderId="1" xfId="0" applyFont="1" applyFill="1" applyBorder="1" applyAlignment="1">
      <alignment vertical="center"/>
    </xf>
    <xf numFmtId="0" fontId="25" fillId="11" borderId="1" xfId="0" applyFont="1" applyFill="1" applyBorder="1" applyAlignment="1">
      <alignment vertical="center"/>
    </xf>
    <xf numFmtId="0" fontId="25" fillId="10" borderId="1" xfId="0" applyFont="1" applyFill="1" applyBorder="1"/>
    <xf numFmtId="0" fontId="26" fillId="8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Normal="100" workbookViewId="0"/>
  </sheetViews>
  <sheetFormatPr defaultColWidth="8.6328125" defaultRowHeight="14.5"/>
  <cols>
    <col min="1" max="4" width="15" customWidth="1"/>
    <col min="5" max="5" width="30" customWidth="1"/>
  </cols>
  <sheetData>
    <row r="1" spans="1:5">
      <c r="A1" s="2" t="s">
        <v>2</v>
      </c>
      <c r="B1" s="34" t="s">
        <v>1348</v>
      </c>
      <c r="C1" s="2" t="s">
        <v>3</v>
      </c>
      <c r="D1" s="2" t="s">
        <v>4</v>
      </c>
      <c r="E1" s="2" t="s">
        <v>5</v>
      </c>
    </row>
    <row r="2" spans="1:5">
      <c r="A2" s="3" t="s">
        <v>6</v>
      </c>
      <c r="B2" s="1"/>
      <c r="C2" s="3"/>
      <c r="D2" s="1"/>
      <c r="E2" s="1"/>
    </row>
    <row r="3" spans="1:5">
      <c r="A3" s="3" t="s">
        <v>347</v>
      </c>
      <c r="B3" s="1"/>
      <c r="C3" s="3"/>
      <c r="D3" s="1"/>
      <c r="E3" s="1"/>
    </row>
    <row r="4" spans="1:5">
      <c r="A4" s="3" t="s">
        <v>7</v>
      </c>
      <c r="B4" s="1"/>
      <c r="C4" s="3"/>
      <c r="D4" s="1"/>
      <c r="E4" s="1"/>
    </row>
    <row r="5" spans="1:5">
      <c r="A5" s="3" t="s">
        <v>8</v>
      </c>
      <c r="B5" s="1"/>
      <c r="C5" s="3"/>
      <c r="D5" s="1"/>
      <c r="E5" s="1"/>
    </row>
    <row r="6" spans="1:5">
      <c r="A6" s="3" t="s">
        <v>9</v>
      </c>
      <c r="B6" s="1"/>
      <c r="C6" s="3"/>
      <c r="D6" s="1"/>
      <c r="E6" s="1"/>
    </row>
    <row r="7" spans="1:5">
      <c r="A7" s="3" t="s">
        <v>9</v>
      </c>
      <c r="B7" s="1"/>
      <c r="C7" s="3"/>
      <c r="D7" s="1"/>
      <c r="E7" s="1"/>
    </row>
    <row r="8" spans="1:5">
      <c r="A8" s="3" t="s">
        <v>10</v>
      </c>
      <c r="B8" s="1"/>
      <c r="C8" s="3"/>
      <c r="D8" s="1"/>
      <c r="E8" s="1"/>
    </row>
    <row r="9" spans="1:5">
      <c r="A9" s="3" t="s">
        <v>11</v>
      </c>
      <c r="B9" s="1"/>
      <c r="C9" s="3"/>
      <c r="D9" s="1"/>
      <c r="E9" s="1"/>
    </row>
    <row r="10" spans="1:5">
      <c r="A10" s="3" t="s">
        <v>12</v>
      </c>
      <c r="B10" s="1"/>
      <c r="C10" s="3"/>
      <c r="D10" s="1"/>
      <c r="E10" s="1"/>
    </row>
    <row r="11" spans="1:5">
      <c r="A11" s="3" t="s">
        <v>13</v>
      </c>
      <c r="B11" s="1"/>
      <c r="C11" s="3"/>
      <c r="D11" s="1"/>
      <c r="E11" s="1"/>
    </row>
    <row r="12" spans="1:5">
      <c r="A12" s="3" t="s">
        <v>14</v>
      </c>
      <c r="B12" s="1"/>
      <c r="C12" s="3"/>
      <c r="D12" s="1"/>
      <c r="E12" s="1"/>
    </row>
    <row r="13" spans="1:5">
      <c r="A13" s="3" t="s">
        <v>15</v>
      </c>
      <c r="B13" s="1">
        <v>50000</v>
      </c>
      <c r="C13" s="3">
        <f t="shared" ref="C13" si="0">B13*1.1</f>
        <v>55000.000000000007</v>
      </c>
      <c r="D13" s="1">
        <v>2000</v>
      </c>
      <c r="E13" s="1"/>
    </row>
    <row r="14" spans="1:5">
      <c r="A14" s="3" t="s">
        <v>348</v>
      </c>
      <c r="B14" s="1">
        <v>50000</v>
      </c>
      <c r="C14" s="3">
        <f t="shared" ref="C14" si="1">B14*1.1</f>
        <v>55000.000000000007</v>
      </c>
      <c r="D14" s="1">
        <v>2000</v>
      </c>
      <c r="E14" s="1"/>
    </row>
  </sheetData>
  <phoneticPr fontId="4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zoomScaleNormal="100" workbookViewId="0">
      <selection activeCell="D12" sqref="D12"/>
    </sheetView>
  </sheetViews>
  <sheetFormatPr defaultColWidth="8.6328125" defaultRowHeight="14.5"/>
  <cols>
    <col min="1" max="1" width="32.81640625" bestFit="1" customWidth="1"/>
    <col min="2" max="2" width="12" bestFit="1" customWidth="1"/>
  </cols>
  <sheetData>
    <row r="1" spans="1:2" ht="18">
      <c r="A1" s="18" t="s">
        <v>527</v>
      </c>
      <c r="B1" s="19">
        <v>45962</v>
      </c>
    </row>
    <row r="2" spans="1:2">
      <c r="A2" t="s">
        <v>528</v>
      </c>
      <c r="B2">
        <f>AVERAGEIFS(
  日次データ_全体!$B:$B,
  日次データ_全体!$A:$A, "&gt;=" &amp; DATE(YEAR(B$1), MONTH(B$1), 1),
  日次データ_全体!$A:$A, "&lt;=" &amp; EOMONTH(B$1, 0)
)</f>
        <v>0.15000000000000002</v>
      </c>
    </row>
    <row r="3" spans="1:2" ht="18">
      <c r="A3" s="10" t="s">
        <v>529</v>
      </c>
      <c r="B3">
        <f>SUMIFS(
  日次データ_全体!$D:$D,
  日次データ_全体!$A:$A, "&gt;=" &amp; DATE(YEAR(B$1), MONTH(B$1), 1),
  日次データ_全体!$A:$A, "&lt;=" &amp; EOMONTH(B$1, 0)
)</f>
        <v>1836</v>
      </c>
    </row>
    <row r="4" spans="1:2" ht="18">
      <c r="A4" s="10" t="s">
        <v>530</v>
      </c>
      <c r="B4">
        <f>SUMIFS(
  日次データ_全体!$E:$E,
  日次データ_全体!$A:$A, "&gt;=" &amp; DATE(YEAR(B$1), MONTH(B$1), 1),
  日次データ_全体!$A:$A, "&lt;=" &amp; EOMONTH(B$1, 0)
)</f>
        <v>23242</v>
      </c>
    </row>
    <row r="5" spans="1:2" ht="18">
      <c r="A5" s="10" t="s">
        <v>531</v>
      </c>
      <c r="B5">
        <f>SUMIFS(
  日次データ_全体!$R:$R,
  日次データ_全体!$A:$A, "&gt;=" &amp; DATE(YEAR(B$1), MONTH(B$1), 1),
  日次データ_全体!$A:$A, "&lt;=" &amp; EOMONTH(B$1, 0)
)</f>
        <v>160000</v>
      </c>
    </row>
    <row r="6" spans="1:2" ht="18">
      <c r="A6" s="10" t="s">
        <v>532</v>
      </c>
      <c r="B6">
        <f>SUMIFS(
  日次データ_全体!$S:$S,
  日次データ_全体!$A:$A, "&gt;=" &amp; DATE(YEAR(B$1), MONTH(B$1), 1),
  日次データ_全体!$A:$A, "&lt;=" &amp; EOMONTH(B$1, 0)
)</f>
        <v>6</v>
      </c>
    </row>
    <row r="7" spans="1:2" ht="18">
      <c r="A7" s="10" t="s">
        <v>533</v>
      </c>
      <c r="B7">
        <f>IF(B3=0, 0, B6 / B3 * 100)</f>
        <v>0.32679738562091504</v>
      </c>
    </row>
    <row r="8" spans="1:2" ht="18">
      <c r="A8" s="10" t="s">
        <v>534</v>
      </c>
      <c r="B8">
        <f>IF(B4=0, 0, B5 / B4 * 100)</f>
        <v>688.40891489544788</v>
      </c>
    </row>
    <row r="9" spans="1:2" ht="18">
      <c r="A9" s="10" t="s">
        <v>535</v>
      </c>
      <c r="B9">
        <f>SUMIFS(
  日次データ_全体!$AB:$AB,
  日次データ_全体!$A:$A, "&gt;=" &amp; DATE(YEAR(B$1), MONTH(B$1), 1),
  日次データ_全体!$A:$A, "&lt;=" &amp; EOMONTH(B$1, 0)
)</f>
        <v>145000</v>
      </c>
    </row>
    <row r="10" spans="1:2" ht="18">
      <c r="A10" s="10" t="s">
        <v>536</v>
      </c>
      <c r="B10">
        <f>SUMIFS(
  日次データ_全体!$AC:$AC,
  日次データ_全体!$A:$A, "&gt;=" &amp; DATE(YEAR(B$1), MONTH(B$1), 1),
  日次データ_全体!$A:$A, "&lt;=" &amp; EOMONTH(B$1, 0)
)</f>
        <v>5</v>
      </c>
    </row>
    <row r="11" spans="1:2" ht="18">
      <c r="A11" s="10" t="s">
        <v>537</v>
      </c>
      <c r="B11">
        <f>SUMIFS(
  日次データ_全体!$AL:$AL,
  日次データ_全体!$A:$A, "&gt;=" &amp; DATE(YEAR(B$1), MONTH(B$1), 1),
  日次データ_全体!$A:$A, "&lt;=" &amp; EOMONTH(B$1, 0)
)</f>
        <v>15000</v>
      </c>
    </row>
    <row r="12" spans="1:2" ht="18">
      <c r="A12" s="10" t="s">
        <v>538</v>
      </c>
      <c r="B12">
        <f>SUMIFS(
  日次データ_全体!$AM:$AM,
  日次データ_全体!$A:$A, "&gt;=" &amp; DATE(YEAR(B$1), MONTH(B$1), 1),
  日次データ_全体!$A:$A, "&lt;=" &amp; EOMONTH(B$1, 0)
)</f>
        <v>1</v>
      </c>
    </row>
    <row r="13" spans="1:2" ht="18">
      <c r="A13" s="10" t="s">
        <v>539</v>
      </c>
      <c r="B13">
        <f>IF(B5=0, 0, B9 / B5)</f>
        <v>0.90625</v>
      </c>
    </row>
    <row r="14" spans="1:2" ht="18">
      <c r="A14" s="10" t="s">
        <v>540</v>
      </c>
      <c r="B14">
        <f>IF(B6=0, 0, B10 / B6)</f>
        <v>0.83333333333333337</v>
      </c>
    </row>
  </sheetData>
  <phoneticPr fontId="4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"/>
  <sheetViews>
    <sheetView zoomScaleNormal="100" workbookViewId="0">
      <selection activeCell="H16" sqref="H16"/>
    </sheetView>
  </sheetViews>
  <sheetFormatPr defaultColWidth="8.6328125" defaultRowHeight="14.5"/>
  <cols>
    <col min="1" max="1" width="16.6328125" bestFit="1" customWidth="1"/>
    <col min="2" max="2" width="7.6328125" bestFit="1" customWidth="1"/>
    <col min="3" max="3" width="15.36328125" bestFit="1" customWidth="1"/>
    <col min="4" max="4" width="19.36328125" bestFit="1" customWidth="1"/>
    <col min="5" max="5" width="14.453125" bestFit="1" customWidth="1"/>
    <col min="6" max="6" width="15.6328125" bestFit="1" customWidth="1"/>
    <col min="7" max="7" width="19.36328125" bestFit="1" customWidth="1"/>
    <col min="8" max="8" width="14.453125" bestFit="1" customWidth="1"/>
    <col min="9" max="9" width="15.6328125" bestFit="1" customWidth="1"/>
    <col min="10" max="10" width="19.36328125" bestFit="1" customWidth="1"/>
    <col min="11" max="11" width="14.453125" bestFit="1" customWidth="1"/>
    <col min="12" max="12" width="15.6328125" bestFit="1" customWidth="1"/>
    <col min="13" max="14" width="24" bestFit="1" customWidth="1"/>
    <col min="15" max="15" width="21.08984375" bestFit="1" customWidth="1"/>
    <col min="16" max="16" width="22.453125" bestFit="1" customWidth="1"/>
    <col min="17" max="17" width="28.90625" bestFit="1" customWidth="1"/>
    <col min="18" max="19" width="24.90625" bestFit="1" customWidth="1"/>
    <col min="20" max="20" width="22.1796875" bestFit="1" customWidth="1"/>
    <col min="21" max="21" width="23.54296875" bestFit="1" customWidth="1"/>
    <col min="22" max="22" width="29.81640625" bestFit="1" customWidth="1"/>
    <col min="23" max="24" width="24" bestFit="1" customWidth="1"/>
    <col min="25" max="25" width="21.08984375" bestFit="1" customWidth="1"/>
    <col min="26" max="26" width="22.453125" bestFit="1" customWidth="1"/>
    <col min="27" max="27" width="28.90625" bestFit="1" customWidth="1"/>
    <col min="28" max="29" width="24.90625" bestFit="1" customWidth="1"/>
    <col min="30" max="30" width="22.1796875" bestFit="1" customWidth="1"/>
    <col min="31" max="31" width="23.54296875" bestFit="1" customWidth="1"/>
    <col min="32" max="32" width="29.81640625" bestFit="1" customWidth="1"/>
    <col min="33" max="34" width="24" bestFit="1" customWidth="1"/>
    <col min="35" max="35" width="21.08984375" bestFit="1" customWidth="1"/>
    <col min="36" max="36" width="22.453125" bestFit="1" customWidth="1"/>
    <col min="37" max="37" width="28.90625" bestFit="1" customWidth="1"/>
    <col min="38" max="39" width="24.90625" bestFit="1" customWidth="1"/>
    <col min="40" max="40" width="22.1796875" bestFit="1" customWidth="1"/>
    <col min="41" max="41" width="23.54296875" bestFit="1" customWidth="1"/>
    <col min="42" max="42" width="29.81640625" bestFit="1" customWidth="1"/>
  </cols>
  <sheetData>
    <row r="1" spans="1:42">
      <c r="A1" s="8" t="s">
        <v>16</v>
      </c>
      <c r="B1" s="8" t="s">
        <v>17</v>
      </c>
      <c r="C1" s="8" t="s">
        <v>18</v>
      </c>
      <c r="D1" s="8" t="s">
        <v>349</v>
      </c>
      <c r="E1" s="8" t="s">
        <v>350</v>
      </c>
      <c r="F1" s="8" t="s">
        <v>351</v>
      </c>
      <c r="G1" s="8" t="s">
        <v>352</v>
      </c>
      <c r="H1" s="8" t="s">
        <v>353</v>
      </c>
      <c r="I1" s="8" t="s">
        <v>354</v>
      </c>
      <c r="J1" s="8" t="s">
        <v>355</v>
      </c>
      <c r="K1" s="8" t="s">
        <v>356</v>
      </c>
      <c r="L1" s="8" t="s">
        <v>357</v>
      </c>
      <c r="M1" s="8" t="s">
        <v>358</v>
      </c>
      <c r="N1" s="8" t="s">
        <v>359</v>
      </c>
      <c r="O1" s="8" t="s">
        <v>360</v>
      </c>
      <c r="P1" s="8" t="s">
        <v>361</v>
      </c>
      <c r="Q1" s="8" t="s">
        <v>362</v>
      </c>
      <c r="R1" s="8" t="s">
        <v>363</v>
      </c>
      <c r="S1" s="8" t="s">
        <v>364</v>
      </c>
      <c r="T1" s="8" t="s">
        <v>365</v>
      </c>
      <c r="U1" s="8" t="s">
        <v>366</v>
      </c>
      <c r="V1" s="8" t="s">
        <v>367</v>
      </c>
      <c r="W1" s="8" t="s">
        <v>368</v>
      </c>
      <c r="X1" s="8" t="s">
        <v>369</v>
      </c>
      <c r="Y1" s="8" t="s">
        <v>370</v>
      </c>
      <c r="Z1" s="8" t="s">
        <v>371</v>
      </c>
      <c r="AA1" s="8" t="s">
        <v>372</v>
      </c>
      <c r="AB1" s="8" t="s">
        <v>373</v>
      </c>
      <c r="AC1" s="8" t="s">
        <v>374</v>
      </c>
      <c r="AD1" s="8" t="s">
        <v>375</v>
      </c>
      <c r="AE1" s="8" t="s">
        <v>376</v>
      </c>
      <c r="AF1" s="8" t="s">
        <v>377</v>
      </c>
      <c r="AG1" s="8" t="s">
        <v>378</v>
      </c>
      <c r="AH1" s="8" t="s">
        <v>379</v>
      </c>
      <c r="AI1" s="8" t="s">
        <v>380</v>
      </c>
      <c r="AJ1" s="8" t="s">
        <v>381</v>
      </c>
      <c r="AK1" s="8" t="s">
        <v>382</v>
      </c>
      <c r="AL1" s="8" t="s">
        <v>383</v>
      </c>
      <c r="AM1" s="8" t="s">
        <v>384</v>
      </c>
      <c r="AN1" s="8" t="s">
        <v>385</v>
      </c>
      <c r="AO1" s="8" t="s">
        <v>386</v>
      </c>
      <c r="AP1" s="8" t="s">
        <v>387</v>
      </c>
    </row>
    <row r="2" spans="1:42">
      <c r="A2" s="9">
        <v>45987</v>
      </c>
      <c r="B2" s="8">
        <v>0.32</v>
      </c>
      <c r="C2" s="8" t="s">
        <v>72</v>
      </c>
      <c r="D2" s="8">
        <v>83</v>
      </c>
      <c r="E2" s="8">
        <v>920</v>
      </c>
      <c r="F2" s="8">
        <v>12</v>
      </c>
      <c r="G2" s="8">
        <v>83</v>
      </c>
      <c r="H2" s="8">
        <v>920</v>
      </c>
      <c r="I2" s="8">
        <v>12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</row>
    <row r="3" spans="1:42">
      <c r="A3" s="9">
        <v>45988</v>
      </c>
      <c r="B3" s="8">
        <v>0.19</v>
      </c>
      <c r="C3" s="8" t="s">
        <v>72</v>
      </c>
      <c r="D3" s="8">
        <v>507</v>
      </c>
      <c r="E3" s="8">
        <v>5919</v>
      </c>
      <c r="F3" s="8">
        <v>12</v>
      </c>
      <c r="G3" s="8">
        <v>504</v>
      </c>
      <c r="H3" s="8">
        <v>5879</v>
      </c>
      <c r="I3" s="8">
        <v>12</v>
      </c>
      <c r="J3" s="8">
        <v>3</v>
      </c>
      <c r="K3" s="8">
        <v>40</v>
      </c>
      <c r="L3" s="8">
        <v>14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20000</v>
      </c>
      <c r="S3" s="8">
        <v>1</v>
      </c>
      <c r="T3" s="8">
        <v>0.19</v>
      </c>
      <c r="U3" s="8">
        <v>337.89</v>
      </c>
      <c r="V3" s="8">
        <v>5919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20000</v>
      </c>
      <c r="AC3" s="8">
        <v>1</v>
      </c>
      <c r="AD3" s="8">
        <v>0.19</v>
      </c>
      <c r="AE3" s="8">
        <v>340.19</v>
      </c>
      <c r="AF3" s="8">
        <v>5879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</row>
    <row r="4" spans="1:42">
      <c r="A4" s="9">
        <v>45989</v>
      </c>
      <c r="B4" s="8">
        <v>7.0000000000000007E-2</v>
      </c>
      <c r="C4" s="8" t="s">
        <v>72</v>
      </c>
      <c r="D4" s="8">
        <v>335</v>
      </c>
      <c r="E4" s="8">
        <v>4168</v>
      </c>
      <c r="F4" s="8">
        <v>13</v>
      </c>
      <c r="G4" s="8">
        <v>332</v>
      </c>
      <c r="H4" s="8">
        <v>4118</v>
      </c>
      <c r="I4" s="8">
        <v>13</v>
      </c>
      <c r="J4" s="8">
        <v>3</v>
      </c>
      <c r="K4" s="8">
        <v>50</v>
      </c>
      <c r="L4" s="8">
        <v>17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</row>
    <row r="5" spans="1:42">
      <c r="A5" s="9">
        <v>45990</v>
      </c>
      <c r="B5" s="8">
        <v>0.12</v>
      </c>
      <c r="C5" s="8" t="s">
        <v>72</v>
      </c>
      <c r="D5" s="8">
        <v>633</v>
      </c>
      <c r="E5" s="8">
        <v>7550</v>
      </c>
      <c r="F5" s="8">
        <v>12</v>
      </c>
      <c r="G5" s="8">
        <v>621</v>
      </c>
      <c r="H5" s="8">
        <v>7310</v>
      </c>
      <c r="I5" s="8">
        <v>12</v>
      </c>
      <c r="J5" s="8">
        <v>12</v>
      </c>
      <c r="K5" s="8">
        <v>240</v>
      </c>
      <c r="L5" s="8">
        <v>20</v>
      </c>
      <c r="M5" s="8">
        <v>80000</v>
      </c>
      <c r="N5" s="8">
        <v>3</v>
      </c>
      <c r="O5" s="8">
        <v>0.47</v>
      </c>
      <c r="P5" s="8">
        <v>1059.5999999999999</v>
      </c>
      <c r="Q5" s="8">
        <v>2517</v>
      </c>
      <c r="R5" s="8">
        <v>80000</v>
      </c>
      <c r="S5" s="8">
        <v>3</v>
      </c>
      <c r="T5" s="8">
        <v>0.47</v>
      </c>
      <c r="U5" s="8">
        <v>1059.5999999999999</v>
      </c>
      <c r="V5" s="8">
        <v>2517</v>
      </c>
      <c r="W5" s="8">
        <v>65000</v>
      </c>
      <c r="X5" s="8">
        <v>2</v>
      </c>
      <c r="Y5" s="8">
        <v>0.32</v>
      </c>
      <c r="Z5" s="8">
        <v>889.19</v>
      </c>
      <c r="AA5" s="8">
        <v>3655</v>
      </c>
      <c r="AB5" s="8">
        <v>65000</v>
      </c>
      <c r="AC5" s="8">
        <v>2</v>
      </c>
      <c r="AD5" s="8">
        <v>0.32</v>
      </c>
      <c r="AE5" s="8">
        <v>889.19</v>
      </c>
      <c r="AF5" s="8">
        <v>3655</v>
      </c>
      <c r="AG5" s="8">
        <v>15000</v>
      </c>
      <c r="AH5" s="8">
        <v>1</v>
      </c>
      <c r="AI5" s="8">
        <v>8.33</v>
      </c>
      <c r="AJ5" s="8">
        <v>6250</v>
      </c>
      <c r="AK5" s="8">
        <v>240</v>
      </c>
      <c r="AL5" s="8">
        <v>15000</v>
      </c>
      <c r="AM5" s="8">
        <v>1</v>
      </c>
      <c r="AN5" s="8">
        <v>8.33</v>
      </c>
      <c r="AO5" s="8">
        <v>6250</v>
      </c>
      <c r="AP5" s="8">
        <v>240</v>
      </c>
    </row>
    <row r="6" spans="1:42">
      <c r="A6" s="9">
        <v>45991</v>
      </c>
      <c r="B6" s="8">
        <v>0.05</v>
      </c>
      <c r="C6" s="8" t="s">
        <v>72</v>
      </c>
      <c r="D6" s="8">
        <v>278</v>
      </c>
      <c r="E6" s="8">
        <v>4685</v>
      </c>
      <c r="F6" s="8">
        <v>17</v>
      </c>
      <c r="G6" s="8">
        <v>277</v>
      </c>
      <c r="H6" s="8">
        <v>4665</v>
      </c>
      <c r="I6" s="8">
        <v>17</v>
      </c>
      <c r="J6" s="8">
        <v>1</v>
      </c>
      <c r="K6" s="8">
        <v>20</v>
      </c>
      <c r="L6" s="8">
        <v>20</v>
      </c>
      <c r="M6" s="8">
        <v>60000</v>
      </c>
      <c r="N6" s="8">
        <v>2</v>
      </c>
      <c r="O6" s="8">
        <v>0.71</v>
      </c>
      <c r="P6" s="8">
        <v>1280.68</v>
      </c>
      <c r="Q6" s="8">
        <v>2343</v>
      </c>
      <c r="R6" s="8">
        <v>60000</v>
      </c>
      <c r="S6" s="8">
        <v>2</v>
      </c>
      <c r="T6" s="8">
        <v>0.71</v>
      </c>
      <c r="U6" s="8">
        <v>1280.68</v>
      </c>
      <c r="V6" s="8">
        <v>2343</v>
      </c>
      <c r="W6" s="8">
        <v>60000</v>
      </c>
      <c r="X6" s="8">
        <v>2</v>
      </c>
      <c r="Y6" s="8">
        <v>0.72</v>
      </c>
      <c r="Z6" s="8">
        <v>1286.17</v>
      </c>
      <c r="AA6" s="8">
        <v>2333</v>
      </c>
      <c r="AB6" s="8">
        <v>60000</v>
      </c>
      <c r="AC6" s="8">
        <v>2</v>
      </c>
      <c r="AD6" s="8">
        <v>0.72</v>
      </c>
      <c r="AE6" s="8">
        <v>1286.17</v>
      </c>
      <c r="AF6" s="8">
        <v>2333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</row>
  </sheetData>
  <phoneticPr fontId="4"/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60"/>
  <sheetViews>
    <sheetView tabSelected="1" zoomScaleNormal="100" workbookViewId="0">
      <selection activeCell="C76" sqref="C76"/>
    </sheetView>
  </sheetViews>
  <sheetFormatPr defaultColWidth="8.6328125" defaultRowHeight="14.5"/>
  <cols>
    <col min="7" max="7" width="17.08984375" bestFit="1" customWidth="1"/>
    <col min="8" max="8" width="12.7265625" bestFit="1" customWidth="1"/>
    <col min="9" max="9" width="14" bestFit="1" customWidth="1"/>
    <col min="10" max="10" width="17.08984375" bestFit="1" customWidth="1"/>
    <col min="11" max="11" width="12.7265625" bestFit="1" customWidth="1"/>
    <col min="12" max="12" width="14" bestFit="1" customWidth="1"/>
    <col min="13" max="13" width="17.08984375" bestFit="1" customWidth="1"/>
    <col min="14" max="14" width="12.7265625" bestFit="1" customWidth="1"/>
    <col min="15" max="15" width="14" bestFit="1" customWidth="1"/>
    <col min="16" max="17" width="21.36328125" bestFit="1" customWidth="1"/>
    <col min="18" max="18" width="19.26953125" bestFit="1" customWidth="1"/>
    <col min="19" max="19" width="20.6328125" bestFit="1" customWidth="1"/>
    <col min="20" max="20" width="25.7265625" bestFit="1" customWidth="1"/>
    <col min="21" max="22" width="22.453125" bestFit="1" customWidth="1"/>
    <col min="23" max="23" width="20.26953125" bestFit="1" customWidth="1"/>
    <col min="24" max="24" width="21.7265625" bestFit="1" customWidth="1"/>
    <col min="25" max="25" width="26.81640625" bestFit="1" customWidth="1"/>
    <col min="26" max="27" width="21.36328125" bestFit="1" customWidth="1"/>
    <col min="28" max="28" width="19.26953125" bestFit="1" customWidth="1"/>
    <col min="29" max="29" width="20.6328125" bestFit="1" customWidth="1"/>
    <col min="30" max="30" width="25.7265625" bestFit="1" customWidth="1"/>
    <col min="31" max="32" width="22.453125" bestFit="1" customWidth="1"/>
    <col min="33" max="33" width="20.26953125" bestFit="1" customWidth="1"/>
    <col min="34" max="34" width="21.7265625" bestFit="1" customWidth="1"/>
    <col min="35" max="35" width="26.81640625" bestFit="1" customWidth="1"/>
    <col min="36" max="37" width="21.36328125" bestFit="1" customWidth="1"/>
    <col min="38" max="38" width="19.26953125" bestFit="1" customWidth="1"/>
    <col min="39" max="39" width="20.6328125" bestFit="1" customWidth="1"/>
    <col min="40" max="40" width="25.7265625" bestFit="1" customWidth="1"/>
    <col min="41" max="42" width="22.453125" bestFit="1" customWidth="1"/>
    <col min="43" max="43" width="20.26953125" bestFit="1" customWidth="1"/>
    <col min="44" max="44" width="21.7265625" bestFit="1" customWidth="1"/>
    <col min="45" max="45" width="26.81640625" bestFit="1" customWidth="1"/>
  </cols>
  <sheetData>
    <row r="1" spans="1:45">
      <c r="A1" s="6" t="s">
        <v>16</v>
      </c>
      <c r="B1" s="6" t="s">
        <v>388</v>
      </c>
      <c r="C1" s="6" t="s">
        <v>19</v>
      </c>
      <c r="D1" s="6" t="s">
        <v>46</v>
      </c>
      <c r="E1" s="6" t="s">
        <v>17</v>
      </c>
      <c r="F1" s="6" t="s">
        <v>389</v>
      </c>
      <c r="G1" s="6" t="s">
        <v>349</v>
      </c>
      <c r="H1" s="6" t="s">
        <v>350</v>
      </c>
      <c r="I1" s="6" t="s">
        <v>351</v>
      </c>
      <c r="J1" s="6" t="s">
        <v>352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357</v>
      </c>
      <c r="P1" s="6" t="s">
        <v>358</v>
      </c>
      <c r="Q1" s="6" t="s">
        <v>359</v>
      </c>
      <c r="R1" s="6" t="s">
        <v>360</v>
      </c>
      <c r="S1" s="6" t="s">
        <v>361</v>
      </c>
      <c r="T1" s="6" t="s">
        <v>362</v>
      </c>
      <c r="U1" s="6" t="s">
        <v>363</v>
      </c>
      <c r="V1" s="6" t="s">
        <v>364</v>
      </c>
      <c r="W1" s="6" t="s">
        <v>365</v>
      </c>
      <c r="X1" s="6" t="s">
        <v>366</v>
      </c>
      <c r="Y1" s="6" t="s">
        <v>367</v>
      </c>
      <c r="Z1" s="6" t="s">
        <v>368</v>
      </c>
      <c r="AA1" s="6" t="s">
        <v>369</v>
      </c>
      <c r="AB1" s="6" t="s">
        <v>370</v>
      </c>
      <c r="AC1" s="6" t="s">
        <v>371</v>
      </c>
      <c r="AD1" s="6" t="s">
        <v>372</v>
      </c>
      <c r="AE1" s="6" t="s">
        <v>373</v>
      </c>
      <c r="AF1" s="6" t="s">
        <v>374</v>
      </c>
      <c r="AG1" s="6" t="s">
        <v>375</v>
      </c>
      <c r="AH1" s="6" t="s">
        <v>376</v>
      </c>
      <c r="AI1" s="6" t="s">
        <v>377</v>
      </c>
      <c r="AJ1" s="6" t="s">
        <v>378</v>
      </c>
      <c r="AK1" s="6" t="s">
        <v>379</v>
      </c>
      <c r="AL1" s="6" t="s">
        <v>380</v>
      </c>
      <c r="AM1" s="6" t="s">
        <v>381</v>
      </c>
      <c r="AN1" s="6" t="s">
        <v>382</v>
      </c>
      <c r="AO1" s="6" t="s">
        <v>383</v>
      </c>
      <c r="AP1" s="6" t="s">
        <v>384</v>
      </c>
      <c r="AQ1" s="6" t="s">
        <v>385</v>
      </c>
      <c r="AR1" s="6" t="s">
        <v>386</v>
      </c>
      <c r="AS1" s="7" t="s">
        <v>387</v>
      </c>
    </row>
    <row r="2" spans="1:45">
      <c r="A2" s="57" t="s">
        <v>1380</v>
      </c>
      <c r="B2" s="57" t="s">
        <v>390</v>
      </c>
      <c r="C2" s="57" t="s">
        <v>391</v>
      </c>
      <c r="D2" s="57" t="s">
        <v>75</v>
      </c>
      <c r="E2" s="57" t="s">
        <v>1381</v>
      </c>
      <c r="F2" s="57" t="s">
        <v>76</v>
      </c>
      <c r="G2" s="57" t="s">
        <v>82</v>
      </c>
      <c r="H2" s="57" t="s">
        <v>75</v>
      </c>
      <c r="I2" s="57" t="s">
        <v>75</v>
      </c>
      <c r="J2" s="57" t="s">
        <v>82</v>
      </c>
      <c r="K2" s="57" t="s">
        <v>75</v>
      </c>
      <c r="L2" s="57" t="s">
        <v>75</v>
      </c>
      <c r="M2" s="57" t="s">
        <v>80</v>
      </c>
      <c r="N2" s="57" t="s">
        <v>80</v>
      </c>
      <c r="O2" s="57" t="s">
        <v>80</v>
      </c>
      <c r="P2" s="57" t="s">
        <v>80</v>
      </c>
      <c r="Q2" s="57" t="s">
        <v>80</v>
      </c>
      <c r="R2" s="57" t="s">
        <v>81</v>
      </c>
      <c r="S2" s="57" t="s">
        <v>81</v>
      </c>
      <c r="T2" s="57" t="s">
        <v>80</v>
      </c>
      <c r="U2" s="57" t="s">
        <v>80</v>
      </c>
      <c r="V2" s="57" t="s">
        <v>80</v>
      </c>
      <c r="W2" s="57" t="s">
        <v>81</v>
      </c>
      <c r="X2" s="57" t="s">
        <v>81</v>
      </c>
      <c r="Y2" s="57" t="s">
        <v>80</v>
      </c>
      <c r="Z2" s="57" t="s">
        <v>80</v>
      </c>
      <c r="AA2" s="57" t="s">
        <v>80</v>
      </c>
      <c r="AB2" s="57" t="s">
        <v>81</v>
      </c>
      <c r="AC2" s="57" t="s">
        <v>81</v>
      </c>
      <c r="AD2" s="57" t="s">
        <v>80</v>
      </c>
      <c r="AE2" s="57" t="s">
        <v>80</v>
      </c>
      <c r="AF2" s="57" t="s">
        <v>80</v>
      </c>
      <c r="AG2" s="57" t="s">
        <v>81</v>
      </c>
      <c r="AH2" s="57" t="s">
        <v>81</v>
      </c>
      <c r="AI2" s="57" t="s">
        <v>80</v>
      </c>
      <c r="AJ2" s="57" t="s">
        <v>80</v>
      </c>
      <c r="AK2" s="57" t="s">
        <v>80</v>
      </c>
      <c r="AL2" s="57" t="s">
        <v>81</v>
      </c>
      <c r="AM2" s="57" t="s">
        <v>81</v>
      </c>
      <c r="AN2" s="57" t="s">
        <v>80</v>
      </c>
      <c r="AO2" s="57" t="s">
        <v>80</v>
      </c>
      <c r="AP2" s="57" t="s">
        <v>80</v>
      </c>
      <c r="AQ2" s="57" t="s">
        <v>81</v>
      </c>
      <c r="AR2" s="57" t="s">
        <v>81</v>
      </c>
      <c r="AS2" s="58" t="s">
        <v>80</v>
      </c>
    </row>
    <row r="3" spans="1:45">
      <c r="A3" s="59" t="s">
        <v>1380</v>
      </c>
      <c r="B3" s="59" t="s">
        <v>392</v>
      </c>
      <c r="C3" s="59" t="s">
        <v>393</v>
      </c>
      <c r="D3" s="59" t="s">
        <v>75</v>
      </c>
      <c r="E3" s="59" t="s">
        <v>137</v>
      </c>
      <c r="F3" s="59" t="s">
        <v>76</v>
      </c>
      <c r="G3" s="59" t="s">
        <v>82</v>
      </c>
      <c r="H3" s="59" t="s">
        <v>75</v>
      </c>
      <c r="I3" s="59" t="s">
        <v>75</v>
      </c>
      <c r="J3" s="59" t="s">
        <v>82</v>
      </c>
      <c r="K3" s="59" t="s">
        <v>75</v>
      </c>
      <c r="L3" s="59" t="s">
        <v>75</v>
      </c>
      <c r="M3" s="59" t="s">
        <v>80</v>
      </c>
      <c r="N3" s="59" t="s">
        <v>80</v>
      </c>
      <c r="O3" s="59" t="s">
        <v>80</v>
      </c>
      <c r="P3" s="59" t="s">
        <v>394</v>
      </c>
      <c r="Q3" s="59" t="s">
        <v>82</v>
      </c>
      <c r="R3" s="59" t="s">
        <v>395</v>
      </c>
      <c r="S3" s="59" t="s">
        <v>396</v>
      </c>
      <c r="T3" s="59" t="s">
        <v>75</v>
      </c>
      <c r="U3" s="59" t="s">
        <v>394</v>
      </c>
      <c r="V3" s="59" t="s">
        <v>82</v>
      </c>
      <c r="W3" s="59" t="s">
        <v>395</v>
      </c>
      <c r="X3" s="59" t="s">
        <v>396</v>
      </c>
      <c r="Y3" s="59" t="s">
        <v>75</v>
      </c>
      <c r="Z3" s="59" t="s">
        <v>394</v>
      </c>
      <c r="AA3" s="59" t="s">
        <v>82</v>
      </c>
      <c r="AB3" s="59" t="s">
        <v>395</v>
      </c>
      <c r="AC3" s="59" t="s">
        <v>396</v>
      </c>
      <c r="AD3" s="59" t="s">
        <v>75</v>
      </c>
      <c r="AE3" s="59" t="s">
        <v>394</v>
      </c>
      <c r="AF3" s="59" t="s">
        <v>82</v>
      </c>
      <c r="AG3" s="59" t="s">
        <v>395</v>
      </c>
      <c r="AH3" s="59" t="s">
        <v>396</v>
      </c>
      <c r="AI3" s="59" t="s">
        <v>75</v>
      </c>
      <c r="AJ3" s="59" t="s">
        <v>80</v>
      </c>
      <c r="AK3" s="59" t="s">
        <v>80</v>
      </c>
      <c r="AL3" s="59" t="s">
        <v>81</v>
      </c>
      <c r="AM3" s="59" t="s">
        <v>81</v>
      </c>
      <c r="AN3" s="59" t="s">
        <v>80</v>
      </c>
      <c r="AO3" s="59" t="s">
        <v>80</v>
      </c>
      <c r="AP3" s="59" t="s">
        <v>80</v>
      </c>
      <c r="AQ3" s="59" t="s">
        <v>81</v>
      </c>
      <c r="AR3" s="59" t="s">
        <v>81</v>
      </c>
      <c r="AS3" s="60" t="s">
        <v>80</v>
      </c>
    </row>
    <row r="4" spans="1:45">
      <c r="A4" s="57" t="s">
        <v>1380</v>
      </c>
      <c r="B4" s="57" t="s">
        <v>47</v>
      </c>
      <c r="C4" s="57" t="s">
        <v>48</v>
      </c>
      <c r="D4" s="57" t="s">
        <v>75</v>
      </c>
      <c r="E4" s="57" t="s">
        <v>1382</v>
      </c>
      <c r="F4" s="57" t="s">
        <v>76</v>
      </c>
      <c r="G4" s="57" t="s">
        <v>155</v>
      </c>
      <c r="H4" s="57" t="s">
        <v>312</v>
      </c>
      <c r="I4" s="57" t="s">
        <v>79</v>
      </c>
      <c r="J4" s="57" t="s">
        <v>155</v>
      </c>
      <c r="K4" s="57" t="s">
        <v>312</v>
      </c>
      <c r="L4" s="57" t="s">
        <v>79</v>
      </c>
      <c r="M4" s="57" t="s">
        <v>80</v>
      </c>
      <c r="N4" s="57" t="s">
        <v>80</v>
      </c>
      <c r="O4" s="57" t="s">
        <v>80</v>
      </c>
      <c r="P4" s="57" t="s">
        <v>80</v>
      </c>
      <c r="Q4" s="57" t="s">
        <v>80</v>
      </c>
      <c r="R4" s="57" t="s">
        <v>81</v>
      </c>
      <c r="S4" s="57" t="s">
        <v>81</v>
      </c>
      <c r="T4" s="57" t="s">
        <v>80</v>
      </c>
      <c r="U4" s="57" t="s">
        <v>80</v>
      </c>
      <c r="V4" s="57" t="s">
        <v>80</v>
      </c>
      <c r="W4" s="57" t="s">
        <v>81</v>
      </c>
      <c r="X4" s="57" t="s">
        <v>81</v>
      </c>
      <c r="Y4" s="57" t="s">
        <v>80</v>
      </c>
      <c r="Z4" s="57" t="s">
        <v>80</v>
      </c>
      <c r="AA4" s="57" t="s">
        <v>80</v>
      </c>
      <c r="AB4" s="57" t="s">
        <v>81</v>
      </c>
      <c r="AC4" s="57" t="s">
        <v>81</v>
      </c>
      <c r="AD4" s="57" t="s">
        <v>80</v>
      </c>
      <c r="AE4" s="57" t="s">
        <v>80</v>
      </c>
      <c r="AF4" s="57" t="s">
        <v>80</v>
      </c>
      <c r="AG4" s="57" t="s">
        <v>81</v>
      </c>
      <c r="AH4" s="57" t="s">
        <v>81</v>
      </c>
      <c r="AI4" s="57" t="s">
        <v>80</v>
      </c>
      <c r="AJ4" s="57" t="s">
        <v>80</v>
      </c>
      <c r="AK4" s="57" t="s">
        <v>80</v>
      </c>
      <c r="AL4" s="57" t="s">
        <v>81</v>
      </c>
      <c r="AM4" s="57" t="s">
        <v>81</v>
      </c>
      <c r="AN4" s="57" t="s">
        <v>80</v>
      </c>
      <c r="AO4" s="57" t="s">
        <v>80</v>
      </c>
      <c r="AP4" s="57" t="s">
        <v>80</v>
      </c>
      <c r="AQ4" s="57" t="s">
        <v>81</v>
      </c>
      <c r="AR4" s="57" t="s">
        <v>81</v>
      </c>
      <c r="AS4" s="58" t="s">
        <v>80</v>
      </c>
    </row>
    <row r="5" spans="1:45">
      <c r="A5" s="59" t="s">
        <v>1380</v>
      </c>
      <c r="B5" s="59" t="s">
        <v>397</v>
      </c>
      <c r="C5" s="59" t="s">
        <v>398</v>
      </c>
      <c r="D5" s="59" t="s">
        <v>75</v>
      </c>
      <c r="E5" s="59" t="s">
        <v>1383</v>
      </c>
      <c r="F5" s="59" t="s">
        <v>76</v>
      </c>
      <c r="G5" s="59" t="s">
        <v>88</v>
      </c>
      <c r="H5" s="59" t="s">
        <v>187</v>
      </c>
      <c r="I5" s="59" t="s">
        <v>79</v>
      </c>
      <c r="J5" s="59" t="s">
        <v>88</v>
      </c>
      <c r="K5" s="59" t="s">
        <v>187</v>
      </c>
      <c r="L5" s="59" t="s">
        <v>79</v>
      </c>
      <c r="M5" s="59" t="s">
        <v>80</v>
      </c>
      <c r="N5" s="59" t="s">
        <v>80</v>
      </c>
      <c r="O5" s="59" t="s">
        <v>80</v>
      </c>
      <c r="P5" s="59" t="s">
        <v>80</v>
      </c>
      <c r="Q5" s="59" t="s">
        <v>80</v>
      </c>
      <c r="R5" s="59" t="s">
        <v>81</v>
      </c>
      <c r="S5" s="59" t="s">
        <v>81</v>
      </c>
      <c r="T5" s="59" t="s">
        <v>80</v>
      </c>
      <c r="U5" s="59" t="s">
        <v>80</v>
      </c>
      <c r="V5" s="59" t="s">
        <v>80</v>
      </c>
      <c r="W5" s="59" t="s">
        <v>81</v>
      </c>
      <c r="X5" s="59" t="s">
        <v>81</v>
      </c>
      <c r="Y5" s="59" t="s">
        <v>80</v>
      </c>
      <c r="Z5" s="59" t="s">
        <v>80</v>
      </c>
      <c r="AA5" s="59" t="s">
        <v>80</v>
      </c>
      <c r="AB5" s="59" t="s">
        <v>81</v>
      </c>
      <c r="AC5" s="59" t="s">
        <v>81</v>
      </c>
      <c r="AD5" s="59" t="s">
        <v>80</v>
      </c>
      <c r="AE5" s="59" t="s">
        <v>80</v>
      </c>
      <c r="AF5" s="59" t="s">
        <v>80</v>
      </c>
      <c r="AG5" s="59" t="s">
        <v>81</v>
      </c>
      <c r="AH5" s="59" t="s">
        <v>81</v>
      </c>
      <c r="AI5" s="59" t="s">
        <v>80</v>
      </c>
      <c r="AJ5" s="59" t="s">
        <v>80</v>
      </c>
      <c r="AK5" s="59" t="s">
        <v>80</v>
      </c>
      <c r="AL5" s="59" t="s">
        <v>81</v>
      </c>
      <c r="AM5" s="59" t="s">
        <v>81</v>
      </c>
      <c r="AN5" s="59" t="s">
        <v>80</v>
      </c>
      <c r="AO5" s="59" t="s">
        <v>80</v>
      </c>
      <c r="AP5" s="59" t="s">
        <v>80</v>
      </c>
      <c r="AQ5" s="59" t="s">
        <v>81</v>
      </c>
      <c r="AR5" s="59" t="s">
        <v>81</v>
      </c>
      <c r="AS5" s="60" t="s">
        <v>80</v>
      </c>
    </row>
    <row r="6" spans="1:45">
      <c r="A6" s="57" t="s">
        <v>1380</v>
      </c>
      <c r="B6" s="57" t="s">
        <v>49</v>
      </c>
      <c r="C6" s="57" t="s">
        <v>50</v>
      </c>
      <c r="D6" s="57" t="s">
        <v>75</v>
      </c>
      <c r="E6" s="57" t="s">
        <v>114</v>
      </c>
      <c r="F6" s="57" t="s">
        <v>76</v>
      </c>
      <c r="G6" s="57" t="s">
        <v>82</v>
      </c>
      <c r="H6" s="57" t="s">
        <v>75</v>
      </c>
      <c r="I6" s="57" t="s">
        <v>75</v>
      </c>
      <c r="J6" s="57" t="s">
        <v>82</v>
      </c>
      <c r="K6" s="57" t="s">
        <v>75</v>
      </c>
      <c r="L6" s="57" t="s">
        <v>75</v>
      </c>
      <c r="M6" s="57" t="s">
        <v>80</v>
      </c>
      <c r="N6" s="57" t="s">
        <v>80</v>
      </c>
      <c r="O6" s="57" t="s">
        <v>80</v>
      </c>
      <c r="P6" s="57" t="s">
        <v>80</v>
      </c>
      <c r="Q6" s="57" t="s">
        <v>80</v>
      </c>
      <c r="R6" s="57" t="s">
        <v>81</v>
      </c>
      <c r="S6" s="57" t="s">
        <v>81</v>
      </c>
      <c r="T6" s="57" t="s">
        <v>80</v>
      </c>
      <c r="U6" s="57" t="s">
        <v>80</v>
      </c>
      <c r="V6" s="57" t="s">
        <v>80</v>
      </c>
      <c r="W6" s="57" t="s">
        <v>81</v>
      </c>
      <c r="X6" s="57" t="s">
        <v>81</v>
      </c>
      <c r="Y6" s="57" t="s">
        <v>80</v>
      </c>
      <c r="Z6" s="57" t="s">
        <v>80</v>
      </c>
      <c r="AA6" s="57" t="s">
        <v>80</v>
      </c>
      <c r="AB6" s="57" t="s">
        <v>81</v>
      </c>
      <c r="AC6" s="57" t="s">
        <v>81</v>
      </c>
      <c r="AD6" s="57" t="s">
        <v>80</v>
      </c>
      <c r="AE6" s="57" t="s">
        <v>80</v>
      </c>
      <c r="AF6" s="57" t="s">
        <v>80</v>
      </c>
      <c r="AG6" s="57" t="s">
        <v>81</v>
      </c>
      <c r="AH6" s="57" t="s">
        <v>81</v>
      </c>
      <c r="AI6" s="57" t="s">
        <v>80</v>
      </c>
      <c r="AJ6" s="57" t="s">
        <v>80</v>
      </c>
      <c r="AK6" s="57" t="s">
        <v>80</v>
      </c>
      <c r="AL6" s="57" t="s">
        <v>81</v>
      </c>
      <c r="AM6" s="57" t="s">
        <v>81</v>
      </c>
      <c r="AN6" s="57" t="s">
        <v>80</v>
      </c>
      <c r="AO6" s="57" t="s">
        <v>80</v>
      </c>
      <c r="AP6" s="57" t="s">
        <v>80</v>
      </c>
      <c r="AQ6" s="57" t="s">
        <v>81</v>
      </c>
      <c r="AR6" s="57" t="s">
        <v>81</v>
      </c>
      <c r="AS6" s="58" t="s">
        <v>80</v>
      </c>
    </row>
    <row r="7" spans="1:45">
      <c r="A7" s="59" t="s">
        <v>1380</v>
      </c>
      <c r="B7" s="59" t="s">
        <v>51</v>
      </c>
      <c r="C7" s="59" t="s">
        <v>52</v>
      </c>
      <c r="D7" s="59" t="s">
        <v>75</v>
      </c>
      <c r="E7" s="59" t="s">
        <v>143</v>
      </c>
      <c r="F7" s="59" t="s">
        <v>76</v>
      </c>
      <c r="G7" s="59" t="s">
        <v>112</v>
      </c>
      <c r="H7" s="59" t="s">
        <v>256</v>
      </c>
      <c r="I7" s="59" t="s">
        <v>85</v>
      </c>
      <c r="J7" s="59" t="s">
        <v>116</v>
      </c>
      <c r="K7" s="59" t="s">
        <v>215</v>
      </c>
      <c r="L7" s="59" t="s">
        <v>88</v>
      </c>
      <c r="M7" s="59" t="s">
        <v>82</v>
      </c>
      <c r="N7" s="59" t="s">
        <v>75</v>
      </c>
      <c r="O7" s="59" t="s">
        <v>75</v>
      </c>
      <c r="P7" s="59" t="s">
        <v>80</v>
      </c>
      <c r="Q7" s="59" t="s">
        <v>80</v>
      </c>
      <c r="R7" s="59" t="s">
        <v>81</v>
      </c>
      <c r="S7" s="59" t="s">
        <v>81</v>
      </c>
      <c r="T7" s="59" t="s">
        <v>80</v>
      </c>
      <c r="U7" s="59" t="s">
        <v>80</v>
      </c>
      <c r="V7" s="59" t="s">
        <v>80</v>
      </c>
      <c r="W7" s="59" t="s">
        <v>81</v>
      </c>
      <c r="X7" s="59" t="s">
        <v>81</v>
      </c>
      <c r="Y7" s="59" t="s">
        <v>80</v>
      </c>
      <c r="Z7" s="59" t="s">
        <v>80</v>
      </c>
      <c r="AA7" s="59" t="s">
        <v>80</v>
      </c>
      <c r="AB7" s="59" t="s">
        <v>81</v>
      </c>
      <c r="AC7" s="59" t="s">
        <v>81</v>
      </c>
      <c r="AD7" s="59" t="s">
        <v>80</v>
      </c>
      <c r="AE7" s="59" t="s">
        <v>80</v>
      </c>
      <c r="AF7" s="59" t="s">
        <v>80</v>
      </c>
      <c r="AG7" s="59" t="s">
        <v>81</v>
      </c>
      <c r="AH7" s="59" t="s">
        <v>81</v>
      </c>
      <c r="AI7" s="59" t="s">
        <v>80</v>
      </c>
      <c r="AJ7" s="59" t="s">
        <v>80</v>
      </c>
      <c r="AK7" s="59" t="s">
        <v>80</v>
      </c>
      <c r="AL7" s="59" t="s">
        <v>81</v>
      </c>
      <c r="AM7" s="59" t="s">
        <v>81</v>
      </c>
      <c r="AN7" s="59" t="s">
        <v>80</v>
      </c>
      <c r="AO7" s="59" t="s">
        <v>80</v>
      </c>
      <c r="AP7" s="59" t="s">
        <v>80</v>
      </c>
      <c r="AQ7" s="59" t="s">
        <v>81</v>
      </c>
      <c r="AR7" s="59" t="s">
        <v>81</v>
      </c>
      <c r="AS7" s="60" t="s">
        <v>80</v>
      </c>
    </row>
    <row r="8" spans="1:45">
      <c r="A8" s="57" t="s">
        <v>1380</v>
      </c>
      <c r="B8" s="57" t="s">
        <v>400</v>
      </c>
      <c r="C8" s="57" t="s">
        <v>401</v>
      </c>
      <c r="D8" s="57" t="s">
        <v>75</v>
      </c>
      <c r="E8" s="57" t="s">
        <v>108</v>
      </c>
      <c r="F8" s="57" t="s">
        <v>76</v>
      </c>
      <c r="G8" s="57" t="s">
        <v>82</v>
      </c>
      <c r="H8" s="57" t="s">
        <v>75</v>
      </c>
      <c r="I8" s="57" t="s">
        <v>75</v>
      </c>
      <c r="J8" s="57" t="s">
        <v>82</v>
      </c>
      <c r="K8" s="57" t="s">
        <v>75</v>
      </c>
      <c r="L8" s="57" t="s">
        <v>75</v>
      </c>
      <c r="M8" s="57" t="s">
        <v>80</v>
      </c>
      <c r="N8" s="57" t="s">
        <v>80</v>
      </c>
      <c r="O8" s="57" t="s">
        <v>80</v>
      </c>
      <c r="P8" s="57" t="s">
        <v>80</v>
      </c>
      <c r="Q8" s="57" t="s">
        <v>80</v>
      </c>
      <c r="R8" s="57" t="s">
        <v>81</v>
      </c>
      <c r="S8" s="57" t="s">
        <v>81</v>
      </c>
      <c r="T8" s="57" t="s">
        <v>80</v>
      </c>
      <c r="U8" s="57" t="s">
        <v>80</v>
      </c>
      <c r="V8" s="57" t="s">
        <v>80</v>
      </c>
      <c r="W8" s="57" t="s">
        <v>81</v>
      </c>
      <c r="X8" s="57" t="s">
        <v>81</v>
      </c>
      <c r="Y8" s="57" t="s">
        <v>80</v>
      </c>
      <c r="Z8" s="57" t="s">
        <v>80</v>
      </c>
      <c r="AA8" s="57" t="s">
        <v>80</v>
      </c>
      <c r="AB8" s="57" t="s">
        <v>81</v>
      </c>
      <c r="AC8" s="57" t="s">
        <v>81</v>
      </c>
      <c r="AD8" s="57" t="s">
        <v>80</v>
      </c>
      <c r="AE8" s="57" t="s">
        <v>80</v>
      </c>
      <c r="AF8" s="57" t="s">
        <v>80</v>
      </c>
      <c r="AG8" s="57" t="s">
        <v>81</v>
      </c>
      <c r="AH8" s="57" t="s">
        <v>81</v>
      </c>
      <c r="AI8" s="57" t="s">
        <v>80</v>
      </c>
      <c r="AJ8" s="57" t="s">
        <v>80</v>
      </c>
      <c r="AK8" s="57" t="s">
        <v>80</v>
      </c>
      <c r="AL8" s="57" t="s">
        <v>81</v>
      </c>
      <c r="AM8" s="57" t="s">
        <v>81</v>
      </c>
      <c r="AN8" s="57" t="s">
        <v>80</v>
      </c>
      <c r="AO8" s="57" t="s">
        <v>80</v>
      </c>
      <c r="AP8" s="57" t="s">
        <v>80</v>
      </c>
      <c r="AQ8" s="57" t="s">
        <v>81</v>
      </c>
      <c r="AR8" s="57" t="s">
        <v>81</v>
      </c>
      <c r="AS8" s="58" t="s">
        <v>80</v>
      </c>
    </row>
    <row r="9" spans="1:45">
      <c r="A9" s="59" t="s">
        <v>1380</v>
      </c>
      <c r="B9" s="59" t="s">
        <v>53</v>
      </c>
      <c r="C9" s="59" t="s">
        <v>54</v>
      </c>
      <c r="D9" s="59" t="s">
        <v>75</v>
      </c>
      <c r="E9" s="59" t="s">
        <v>181</v>
      </c>
      <c r="F9" s="59" t="s">
        <v>76</v>
      </c>
      <c r="G9" s="59" t="s">
        <v>155</v>
      </c>
      <c r="H9" s="59" t="s">
        <v>312</v>
      </c>
      <c r="I9" s="59" t="s">
        <v>79</v>
      </c>
      <c r="J9" s="59" t="s">
        <v>155</v>
      </c>
      <c r="K9" s="59" t="s">
        <v>312</v>
      </c>
      <c r="L9" s="59" t="s">
        <v>79</v>
      </c>
      <c r="M9" s="59" t="s">
        <v>80</v>
      </c>
      <c r="N9" s="59" t="s">
        <v>80</v>
      </c>
      <c r="O9" s="59" t="s">
        <v>80</v>
      </c>
      <c r="P9" s="59" t="s">
        <v>80</v>
      </c>
      <c r="Q9" s="59" t="s">
        <v>80</v>
      </c>
      <c r="R9" s="59" t="s">
        <v>81</v>
      </c>
      <c r="S9" s="59" t="s">
        <v>81</v>
      </c>
      <c r="T9" s="59" t="s">
        <v>80</v>
      </c>
      <c r="U9" s="59" t="s">
        <v>80</v>
      </c>
      <c r="V9" s="59" t="s">
        <v>80</v>
      </c>
      <c r="W9" s="59" t="s">
        <v>81</v>
      </c>
      <c r="X9" s="59" t="s">
        <v>81</v>
      </c>
      <c r="Y9" s="59" t="s">
        <v>80</v>
      </c>
      <c r="Z9" s="59" t="s">
        <v>80</v>
      </c>
      <c r="AA9" s="59" t="s">
        <v>80</v>
      </c>
      <c r="AB9" s="59" t="s">
        <v>81</v>
      </c>
      <c r="AC9" s="59" t="s">
        <v>81</v>
      </c>
      <c r="AD9" s="59" t="s">
        <v>80</v>
      </c>
      <c r="AE9" s="59" t="s">
        <v>80</v>
      </c>
      <c r="AF9" s="59" t="s">
        <v>80</v>
      </c>
      <c r="AG9" s="59" t="s">
        <v>81</v>
      </c>
      <c r="AH9" s="59" t="s">
        <v>81</v>
      </c>
      <c r="AI9" s="59" t="s">
        <v>80</v>
      </c>
      <c r="AJ9" s="59" t="s">
        <v>80</v>
      </c>
      <c r="AK9" s="59" t="s">
        <v>80</v>
      </c>
      <c r="AL9" s="59" t="s">
        <v>81</v>
      </c>
      <c r="AM9" s="59" t="s">
        <v>81</v>
      </c>
      <c r="AN9" s="59" t="s">
        <v>80</v>
      </c>
      <c r="AO9" s="59" t="s">
        <v>80</v>
      </c>
      <c r="AP9" s="59" t="s">
        <v>80</v>
      </c>
      <c r="AQ9" s="59" t="s">
        <v>81</v>
      </c>
      <c r="AR9" s="59" t="s">
        <v>81</v>
      </c>
      <c r="AS9" s="60" t="s">
        <v>80</v>
      </c>
    </row>
    <row r="10" spans="1:45">
      <c r="A10" s="57" t="s">
        <v>1380</v>
      </c>
      <c r="B10" s="57" t="s">
        <v>55</v>
      </c>
      <c r="C10" s="57" t="s">
        <v>56</v>
      </c>
      <c r="D10" s="57" t="s">
        <v>75</v>
      </c>
      <c r="E10" s="57" t="s">
        <v>81</v>
      </c>
      <c r="F10" s="57" t="s">
        <v>76</v>
      </c>
      <c r="G10" s="57" t="s">
        <v>82</v>
      </c>
      <c r="H10" s="57" t="s">
        <v>79</v>
      </c>
      <c r="I10" s="57" t="s">
        <v>79</v>
      </c>
      <c r="J10" s="57" t="s">
        <v>82</v>
      </c>
      <c r="K10" s="57" t="s">
        <v>79</v>
      </c>
      <c r="L10" s="57" t="s">
        <v>79</v>
      </c>
      <c r="M10" s="57" t="s">
        <v>80</v>
      </c>
      <c r="N10" s="57" t="s">
        <v>80</v>
      </c>
      <c r="O10" s="57" t="s">
        <v>80</v>
      </c>
      <c r="P10" s="57" t="s">
        <v>80</v>
      </c>
      <c r="Q10" s="57" t="s">
        <v>80</v>
      </c>
      <c r="R10" s="57" t="s">
        <v>81</v>
      </c>
      <c r="S10" s="57" t="s">
        <v>81</v>
      </c>
      <c r="T10" s="57" t="s">
        <v>80</v>
      </c>
      <c r="U10" s="57" t="s">
        <v>80</v>
      </c>
      <c r="V10" s="57" t="s">
        <v>80</v>
      </c>
      <c r="W10" s="57" t="s">
        <v>81</v>
      </c>
      <c r="X10" s="57" t="s">
        <v>81</v>
      </c>
      <c r="Y10" s="57" t="s">
        <v>80</v>
      </c>
      <c r="Z10" s="57" t="s">
        <v>80</v>
      </c>
      <c r="AA10" s="57" t="s">
        <v>80</v>
      </c>
      <c r="AB10" s="57" t="s">
        <v>81</v>
      </c>
      <c r="AC10" s="57" t="s">
        <v>81</v>
      </c>
      <c r="AD10" s="57" t="s">
        <v>80</v>
      </c>
      <c r="AE10" s="57" t="s">
        <v>80</v>
      </c>
      <c r="AF10" s="57" t="s">
        <v>80</v>
      </c>
      <c r="AG10" s="57" t="s">
        <v>81</v>
      </c>
      <c r="AH10" s="57" t="s">
        <v>81</v>
      </c>
      <c r="AI10" s="57" t="s">
        <v>80</v>
      </c>
      <c r="AJ10" s="57" t="s">
        <v>80</v>
      </c>
      <c r="AK10" s="57" t="s">
        <v>80</v>
      </c>
      <c r="AL10" s="57" t="s">
        <v>81</v>
      </c>
      <c r="AM10" s="57" t="s">
        <v>81</v>
      </c>
      <c r="AN10" s="57" t="s">
        <v>80</v>
      </c>
      <c r="AO10" s="57" t="s">
        <v>80</v>
      </c>
      <c r="AP10" s="57" t="s">
        <v>80</v>
      </c>
      <c r="AQ10" s="57" t="s">
        <v>81</v>
      </c>
      <c r="AR10" s="57" t="s">
        <v>81</v>
      </c>
      <c r="AS10" s="58" t="s">
        <v>80</v>
      </c>
    </row>
    <row r="11" spans="1:45">
      <c r="A11" s="59" t="s">
        <v>1380</v>
      </c>
      <c r="B11" s="59" t="s">
        <v>57</v>
      </c>
      <c r="C11" s="59" t="s">
        <v>58</v>
      </c>
      <c r="D11" s="59" t="s">
        <v>75</v>
      </c>
      <c r="E11" s="59" t="s">
        <v>1384</v>
      </c>
      <c r="F11" s="59" t="s">
        <v>76</v>
      </c>
      <c r="G11" s="59" t="s">
        <v>90</v>
      </c>
      <c r="H11" s="59" t="s">
        <v>91</v>
      </c>
      <c r="I11" s="59" t="s">
        <v>75</v>
      </c>
      <c r="J11" s="59" t="s">
        <v>90</v>
      </c>
      <c r="K11" s="59" t="s">
        <v>91</v>
      </c>
      <c r="L11" s="59" t="s">
        <v>75</v>
      </c>
      <c r="M11" s="59" t="s">
        <v>80</v>
      </c>
      <c r="N11" s="59" t="s">
        <v>80</v>
      </c>
      <c r="O11" s="59" t="s">
        <v>80</v>
      </c>
      <c r="P11" s="59" t="s">
        <v>80</v>
      </c>
      <c r="Q11" s="59" t="s">
        <v>80</v>
      </c>
      <c r="R11" s="59" t="s">
        <v>81</v>
      </c>
      <c r="S11" s="59" t="s">
        <v>81</v>
      </c>
      <c r="T11" s="59" t="s">
        <v>80</v>
      </c>
      <c r="U11" s="59" t="s">
        <v>80</v>
      </c>
      <c r="V11" s="59" t="s">
        <v>80</v>
      </c>
      <c r="W11" s="59" t="s">
        <v>81</v>
      </c>
      <c r="X11" s="59" t="s">
        <v>81</v>
      </c>
      <c r="Y11" s="59" t="s">
        <v>80</v>
      </c>
      <c r="Z11" s="59" t="s">
        <v>80</v>
      </c>
      <c r="AA11" s="59" t="s">
        <v>80</v>
      </c>
      <c r="AB11" s="59" t="s">
        <v>81</v>
      </c>
      <c r="AC11" s="59" t="s">
        <v>81</v>
      </c>
      <c r="AD11" s="59" t="s">
        <v>80</v>
      </c>
      <c r="AE11" s="59" t="s">
        <v>80</v>
      </c>
      <c r="AF11" s="59" t="s">
        <v>80</v>
      </c>
      <c r="AG11" s="59" t="s">
        <v>81</v>
      </c>
      <c r="AH11" s="59" t="s">
        <v>81</v>
      </c>
      <c r="AI11" s="59" t="s">
        <v>80</v>
      </c>
      <c r="AJ11" s="59" t="s">
        <v>80</v>
      </c>
      <c r="AK11" s="59" t="s">
        <v>80</v>
      </c>
      <c r="AL11" s="59" t="s">
        <v>81</v>
      </c>
      <c r="AM11" s="59" t="s">
        <v>81</v>
      </c>
      <c r="AN11" s="59" t="s">
        <v>80</v>
      </c>
      <c r="AO11" s="59" t="s">
        <v>80</v>
      </c>
      <c r="AP11" s="59" t="s">
        <v>80</v>
      </c>
      <c r="AQ11" s="59" t="s">
        <v>81</v>
      </c>
      <c r="AR11" s="59" t="s">
        <v>81</v>
      </c>
      <c r="AS11" s="60" t="s">
        <v>80</v>
      </c>
    </row>
    <row r="12" spans="1:45">
      <c r="A12" s="57" t="s">
        <v>1380</v>
      </c>
      <c r="B12" s="57" t="s">
        <v>1385</v>
      </c>
      <c r="C12" s="57" t="s">
        <v>722</v>
      </c>
      <c r="D12" s="57" t="s">
        <v>75</v>
      </c>
      <c r="E12" s="57" t="s">
        <v>1382</v>
      </c>
      <c r="F12" s="57" t="s">
        <v>76</v>
      </c>
      <c r="G12" s="57" t="s">
        <v>82</v>
      </c>
      <c r="H12" s="57" t="s">
        <v>75</v>
      </c>
      <c r="I12" s="57" t="s">
        <v>75</v>
      </c>
      <c r="J12" s="57" t="s">
        <v>82</v>
      </c>
      <c r="K12" s="57" t="s">
        <v>75</v>
      </c>
      <c r="L12" s="57" t="s">
        <v>75</v>
      </c>
      <c r="M12" s="57" t="s">
        <v>80</v>
      </c>
      <c r="N12" s="57" t="s">
        <v>80</v>
      </c>
      <c r="O12" s="57" t="s">
        <v>80</v>
      </c>
      <c r="P12" s="57" t="s">
        <v>80</v>
      </c>
      <c r="Q12" s="57" t="s">
        <v>80</v>
      </c>
      <c r="R12" s="57" t="s">
        <v>81</v>
      </c>
      <c r="S12" s="57" t="s">
        <v>81</v>
      </c>
      <c r="T12" s="57" t="s">
        <v>80</v>
      </c>
      <c r="U12" s="57" t="s">
        <v>80</v>
      </c>
      <c r="V12" s="57" t="s">
        <v>80</v>
      </c>
      <c r="W12" s="57" t="s">
        <v>81</v>
      </c>
      <c r="X12" s="57" t="s">
        <v>81</v>
      </c>
      <c r="Y12" s="57" t="s">
        <v>80</v>
      </c>
      <c r="Z12" s="57" t="s">
        <v>80</v>
      </c>
      <c r="AA12" s="57" t="s">
        <v>80</v>
      </c>
      <c r="AB12" s="57" t="s">
        <v>81</v>
      </c>
      <c r="AC12" s="57" t="s">
        <v>81</v>
      </c>
      <c r="AD12" s="57" t="s">
        <v>80</v>
      </c>
      <c r="AE12" s="57" t="s">
        <v>80</v>
      </c>
      <c r="AF12" s="57" t="s">
        <v>80</v>
      </c>
      <c r="AG12" s="57" t="s">
        <v>81</v>
      </c>
      <c r="AH12" s="57" t="s">
        <v>81</v>
      </c>
      <c r="AI12" s="57" t="s">
        <v>80</v>
      </c>
      <c r="AJ12" s="57" t="s">
        <v>80</v>
      </c>
      <c r="AK12" s="57" t="s">
        <v>80</v>
      </c>
      <c r="AL12" s="57" t="s">
        <v>81</v>
      </c>
      <c r="AM12" s="57" t="s">
        <v>81</v>
      </c>
      <c r="AN12" s="57" t="s">
        <v>80</v>
      </c>
      <c r="AO12" s="57" t="s">
        <v>80</v>
      </c>
      <c r="AP12" s="57" t="s">
        <v>80</v>
      </c>
      <c r="AQ12" s="57" t="s">
        <v>81</v>
      </c>
      <c r="AR12" s="57" t="s">
        <v>81</v>
      </c>
      <c r="AS12" s="58" t="s">
        <v>80</v>
      </c>
    </row>
    <row r="13" spans="1:45">
      <c r="A13" s="59" t="s">
        <v>1380</v>
      </c>
      <c r="B13" s="59" t="s">
        <v>59</v>
      </c>
      <c r="C13" s="59" t="s">
        <v>60</v>
      </c>
      <c r="D13" s="59" t="s">
        <v>75</v>
      </c>
      <c r="E13" s="59" t="s">
        <v>1386</v>
      </c>
      <c r="F13" s="59" t="s">
        <v>76</v>
      </c>
      <c r="G13" s="59" t="s">
        <v>90</v>
      </c>
      <c r="H13" s="59" t="s">
        <v>91</v>
      </c>
      <c r="I13" s="59" t="s">
        <v>75</v>
      </c>
      <c r="J13" s="59" t="s">
        <v>90</v>
      </c>
      <c r="K13" s="59" t="s">
        <v>91</v>
      </c>
      <c r="L13" s="59" t="s">
        <v>75</v>
      </c>
      <c r="M13" s="59" t="s">
        <v>80</v>
      </c>
      <c r="N13" s="59" t="s">
        <v>80</v>
      </c>
      <c r="O13" s="59" t="s">
        <v>80</v>
      </c>
      <c r="P13" s="59" t="s">
        <v>80</v>
      </c>
      <c r="Q13" s="59" t="s">
        <v>80</v>
      </c>
      <c r="R13" s="59" t="s">
        <v>81</v>
      </c>
      <c r="S13" s="59" t="s">
        <v>81</v>
      </c>
      <c r="T13" s="59" t="s">
        <v>80</v>
      </c>
      <c r="U13" s="59" t="s">
        <v>80</v>
      </c>
      <c r="V13" s="59" t="s">
        <v>80</v>
      </c>
      <c r="W13" s="59" t="s">
        <v>81</v>
      </c>
      <c r="X13" s="59" t="s">
        <v>81</v>
      </c>
      <c r="Y13" s="59" t="s">
        <v>80</v>
      </c>
      <c r="Z13" s="59" t="s">
        <v>80</v>
      </c>
      <c r="AA13" s="59" t="s">
        <v>80</v>
      </c>
      <c r="AB13" s="59" t="s">
        <v>81</v>
      </c>
      <c r="AC13" s="59" t="s">
        <v>81</v>
      </c>
      <c r="AD13" s="59" t="s">
        <v>80</v>
      </c>
      <c r="AE13" s="59" t="s">
        <v>80</v>
      </c>
      <c r="AF13" s="59" t="s">
        <v>80</v>
      </c>
      <c r="AG13" s="59" t="s">
        <v>81</v>
      </c>
      <c r="AH13" s="59" t="s">
        <v>81</v>
      </c>
      <c r="AI13" s="59" t="s">
        <v>80</v>
      </c>
      <c r="AJ13" s="59" t="s">
        <v>80</v>
      </c>
      <c r="AK13" s="59" t="s">
        <v>80</v>
      </c>
      <c r="AL13" s="59" t="s">
        <v>81</v>
      </c>
      <c r="AM13" s="59" t="s">
        <v>81</v>
      </c>
      <c r="AN13" s="59" t="s">
        <v>80</v>
      </c>
      <c r="AO13" s="59" t="s">
        <v>80</v>
      </c>
      <c r="AP13" s="59" t="s">
        <v>80</v>
      </c>
      <c r="AQ13" s="59" t="s">
        <v>81</v>
      </c>
      <c r="AR13" s="59" t="s">
        <v>81</v>
      </c>
      <c r="AS13" s="60" t="s">
        <v>80</v>
      </c>
    </row>
    <row r="14" spans="1:45">
      <c r="A14" s="57" t="s">
        <v>1380</v>
      </c>
      <c r="B14" s="57" t="s">
        <v>61</v>
      </c>
      <c r="C14" s="57" t="s">
        <v>62</v>
      </c>
      <c r="D14" s="57" t="s">
        <v>75</v>
      </c>
      <c r="E14" s="57" t="s">
        <v>1387</v>
      </c>
      <c r="F14" s="57" t="s">
        <v>76</v>
      </c>
      <c r="G14" s="57" t="s">
        <v>1388</v>
      </c>
      <c r="H14" s="57" t="s">
        <v>1389</v>
      </c>
      <c r="I14" s="57" t="s">
        <v>77</v>
      </c>
      <c r="J14" s="57" t="s">
        <v>1388</v>
      </c>
      <c r="K14" s="57" t="s">
        <v>1389</v>
      </c>
      <c r="L14" s="57" t="s">
        <v>77</v>
      </c>
      <c r="M14" s="57" t="s">
        <v>80</v>
      </c>
      <c r="N14" s="57" t="s">
        <v>80</v>
      </c>
      <c r="O14" s="57" t="s">
        <v>80</v>
      </c>
      <c r="P14" s="57" t="s">
        <v>80</v>
      </c>
      <c r="Q14" s="57" t="s">
        <v>80</v>
      </c>
      <c r="R14" s="57" t="s">
        <v>81</v>
      </c>
      <c r="S14" s="57" t="s">
        <v>81</v>
      </c>
      <c r="T14" s="57" t="s">
        <v>80</v>
      </c>
      <c r="U14" s="57" t="s">
        <v>80</v>
      </c>
      <c r="V14" s="57" t="s">
        <v>80</v>
      </c>
      <c r="W14" s="57" t="s">
        <v>81</v>
      </c>
      <c r="X14" s="57" t="s">
        <v>81</v>
      </c>
      <c r="Y14" s="57" t="s">
        <v>80</v>
      </c>
      <c r="Z14" s="57" t="s">
        <v>80</v>
      </c>
      <c r="AA14" s="57" t="s">
        <v>80</v>
      </c>
      <c r="AB14" s="57" t="s">
        <v>81</v>
      </c>
      <c r="AC14" s="57" t="s">
        <v>81</v>
      </c>
      <c r="AD14" s="57" t="s">
        <v>80</v>
      </c>
      <c r="AE14" s="57" t="s">
        <v>80</v>
      </c>
      <c r="AF14" s="57" t="s">
        <v>80</v>
      </c>
      <c r="AG14" s="57" t="s">
        <v>81</v>
      </c>
      <c r="AH14" s="57" t="s">
        <v>81</v>
      </c>
      <c r="AI14" s="57" t="s">
        <v>80</v>
      </c>
      <c r="AJ14" s="57" t="s">
        <v>80</v>
      </c>
      <c r="AK14" s="57" t="s">
        <v>80</v>
      </c>
      <c r="AL14" s="57" t="s">
        <v>81</v>
      </c>
      <c r="AM14" s="57" t="s">
        <v>81</v>
      </c>
      <c r="AN14" s="57" t="s">
        <v>80</v>
      </c>
      <c r="AO14" s="57" t="s">
        <v>80</v>
      </c>
      <c r="AP14" s="57" t="s">
        <v>80</v>
      </c>
      <c r="AQ14" s="57" t="s">
        <v>81</v>
      </c>
      <c r="AR14" s="57" t="s">
        <v>81</v>
      </c>
      <c r="AS14" s="58" t="s">
        <v>80</v>
      </c>
    </row>
    <row r="15" spans="1:45">
      <c r="A15" s="59" t="s">
        <v>1380</v>
      </c>
      <c r="B15" s="59" t="s">
        <v>28</v>
      </c>
      <c r="C15" s="59" t="s">
        <v>27</v>
      </c>
      <c r="D15" s="59" t="s">
        <v>103</v>
      </c>
      <c r="E15" s="59" t="s">
        <v>453</v>
      </c>
      <c r="F15" s="59" t="s">
        <v>76</v>
      </c>
      <c r="G15" s="59" t="s">
        <v>98</v>
      </c>
      <c r="H15" s="59" t="s">
        <v>215</v>
      </c>
      <c r="I15" s="59" t="s">
        <v>103</v>
      </c>
      <c r="J15" s="59" t="s">
        <v>98</v>
      </c>
      <c r="K15" s="59" t="s">
        <v>215</v>
      </c>
      <c r="L15" s="59" t="s">
        <v>103</v>
      </c>
      <c r="M15" s="59" t="s">
        <v>80</v>
      </c>
      <c r="N15" s="59" t="s">
        <v>80</v>
      </c>
      <c r="O15" s="59" t="s">
        <v>80</v>
      </c>
      <c r="P15" s="59" t="s">
        <v>80</v>
      </c>
      <c r="Q15" s="59" t="s">
        <v>80</v>
      </c>
      <c r="R15" s="59" t="s">
        <v>81</v>
      </c>
      <c r="S15" s="59" t="s">
        <v>81</v>
      </c>
      <c r="T15" s="59" t="s">
        <v>80</v>
      </c>
      <c r="U15" s="59" t="s">
        <v>80</v>
      </c>
      <c r="V15" s="59" t="s">
        <v>80</v>
      </c>
      <c r="W15" s="59" t="s">
        <v>81</v>
      </c>
      <c r="X15" s="59" t="s">
        <v>81</v>
      </c>
      <c r="Y15" s="59" t="s">
        <v>80</v>
      </c>
      <c r="Z15" s="59" t="s">
        <v>80</v>
      </c>
      <c r="AA15" s="59" t="s">
        <v>80</v>
      </c>
      <c r="AB15" s="59" t="s">
        <v>81</v>
      </c>
      <c r="AC15" s="59" t="s">
        <v>81</v>
      </c>
      <c r="AD15" s="59" t="s">
        <v>80</v>
      </c>
      <c r="AE15" s="59" t="s">
        <v>80</v>
      </c>
      <c r="AF15" s="59" t="s">
        <v>80</v>
      </c>
      <c r="AG15" s="59" t="s">
        <v>81</v>
      </c>
      <c r="AH15" s="59" t="s">
        <v>81</v>
      </c>
      <c r="AI15" s="59" t="s">
        <v>80</v>
      </c>
      <c r="AJ15" s="59" t="s">
        <v>80</v>
      </c>
      <c r="AK15" s="59" t="s">
        <v>80</v>
      </c>
      <c r="AL15" s="59" t="s">
        <v>81</v>
      </c>
      <c r="AM15" s="59" t="s">
        <v>81</v>
      </c>
      <c r="AN15" s="59" t="s">
        <v>80</v>
      </c>
      <c r="AO15" s="59" t="s">
        <v>80</v>
      </c>
      <c r="AP15" s="59" t="s">
        <v>80</v>
      </c>
      <c r="AQ15" s="59" t="s">
        <v>81</v>
      </c>
      <c r="AR15" s="59" t="s">
        <v>81</v>
      </c>
      <c r="AS15" s="60" t="s">
        <v>80</v>
      </c>
    </row>
    <row r="16" spans="1:45">
      <c r="A16" s="57" t="s">
        <v>1380</v>
      </c>
      <c r="B16" s="57" t="s">
        <v>63</v>
      </c>
      <c r="C16" s="57" t="s">
        <v>64</v>
      </c>
      <c r="D16" s="57" t="s">
        <v>75</v>
      </c>
      <c r="E16" s="57" t="s">
        <v>102</v>
      </c>
      <c r="F16" s="57" t="s">
        <v>76</v>
      </c>
      <c r="G16" s="57" t="s">
        <v>126</v>
      </c>
      <c r="H16" s="57" t="s">
        <v>156</v>
      </c>
      <c r="I16" s="57" t="s">
        <v>85</v>
      </c>
      <c r="J16" s="57" t="s">
        <v>126</v>
      </c>
      <c r="K16" s="57" t="s">
        <v>156</v>
      </c>
      <c r="L16" s="57" t="s">
        <v>85</v>
      </c>
      <c r="M16" s="57" t="s">
        <v>80</v>
      </c>
      <c r="N16" s="57" t="s">
        <v>80</v>
      </c>
      <c r="O16" s="57" t="s">
        <v>80</v>
      </c>
      <c r="P16" s="57" t="s">
        <v>80</v>
      </c>
      <c r="Q16" s="57" t="s">
        <v>80</v>
      </c>
      <c r="R16" s="57" t="s">
        <v>81</v>
      </c>
      <c r="S16" s="57" t="s">
        <v>81</v>
      </c>
      <c r="T16" s="57" t="s">
        <v>80</v>
      </c>
      <c r="U16" s="57" t="s">
        <v>80</v>
      </c>
      <c r="V16" s="57" t="s">
        <v>80</v>
      </c>
      <c r="W16" s="57" t="s">
        <v>81</v>
      </c>
      <c r="X16" s="57" t="s">
        <v>81</v>
      </c>
      <c r="Y16" s="57" t="s">
        <v>80</v>
      </c>
      <c r="Z16" s="57" t="s">
        <v>80</v>
      </c>
      <c r="AA16" s="57" t="s">
        <v>80</v>
      </c>
      <c r="AB16" s="57" t="s">
        <v>81</v>
      </c>
      <c r="AC16" s="57" t="s">
        <v>81</v>
      </c>
      <c r="AD16" s="57" t="s">
        <v>80</v>
      </c>
      <c r="AE16" s="57" t="s">
        <v>80</v>
      </c>
      <c r="AF16" s="57" t="s">
        <v>80</v>
      </c>
      <c r="AG16" s="57" t="s">
        <v>81</v>
      </c>
      <c r="AH16" s="57" t="s">
        <v>81</v>
      </c>
      <c r="AI16" s="57" t="s">
        <v>80</v>
      </c>
      <c r="AJ16" s="57" t="s">
        <v>80</v>
      </c>
      <c r="AK16" s="57" t="s">
        <v>80</v>
      </c>
      <c r="AL16" s="57" t="s">
        <v>81</v>
      </c>
      <c r="AM16" s="57" t="s">
        <v>81</v>
      </c>
      <c r="AN16" s="57" t="s">
        <v>80</v>
      </c>
      <c r="AO16" s="57" t="s">
        <v>80</v>
      </c>
      <c r="AP16" s="57" t="s">
        <v>80</v>
      </c>
      <c r="AQ16" s="57" t="s">
        <v>81</v>
      </c>
      <c r="AR16" s="57" t="s">
        <v>81</v>
      </c>
      <c r="AS16" s="58" t="s">
        <v>80</v>
      </c>
    </row>
    <row r="17" spans="1:45">
      <c r="A17" s="59" t="s">
        <v>1380</v>
      </c>
      <c r="B17" s="59" t="s">
        <v>65</v>
      </c>
      <c r="C17" s="59" t="s">
        <v>66</v>
      </c>
      <c r="D17" s="59" t="s">
        <v>75</v>
      </c>
      <c r="E17" s="59" t="s">
        <v>1390</v>
      </c>
      <c r="F17" s="59" t="s">
        <v>76</v>
      </c>
      <c r="G17" s="59" t="s">
        <v>93</v>
      </c>
      <c r="H17" s="59" t="s">
        <v>99</v>
      </c>
      <c r="I17" s="59" t="s">
        <v>75</v>
      </c>
      <c r="J17" s="59" t="s">
        <v>93</v>
      </c>
      <c r="K17" s="59" t="s">
        <v>99</v>
      </c>
      <c r="L17" s="59" t="s">
        <v>75</v>
      </c>
      <c r="M17" s="59" t="s">
        <v>80</v>
      </c>
      <c r="N17" s="59" t="s">
        <v>80</v>
      </c>
      <c r="O17" s="59" t="s">
        <v>80</v>
      </c>
      <c r="P17" s="59" t="s">
        <v>80</v>
      </c>
      <c r="Q17" s="59" t="s">
        <v>80</v>
      </c>
      <c r="R17" s="59" t="s">
        <v>81</v>
      </c>
      <c r="S17" s="59" t="s">
        <v>81</v>
      </c>
      <c r="T17" s="59" t="s">
        <v>80</v>
      </c>
      <c r="U17" s="59" t="s">
        <v>80</v>
      </c>
      <c r="V17" s="59" t="s">
        <v>80</v>
      </c>
      <c r="W17" s="59" t="s">
        <v>81</v>
      </c>
      <c r="X17" s="59" t="s">
        <v>81</v>
      </c>
      <c r="Y17" s="59" t="s">
        <v>80</v>
      </c>
      <c r="Z17" s="59" t="s">
        <v>80</v>
      </c>
      <c r="AA17" s="59" t="s">
        <v>80</v>
      </c>
      <c r="AB17" s="59" t="s">
        <v>81</v>
      </c>
      <c r="AC17" s="59" t="s">
        <v>81</v>
      </c>
      <c r="AD17" s="59" t="s">
        <v>80</v>
      </c>
      <c r="AE17" s="59" t="s">
        <v>80</v>
      </c>
      <c r="AF17" s="59" t="s">
        <v>80</v>
      </c>
      <c r="AG17" s="59" t="s">
        <v>81</v>
      </c>
      <c r="AH17" s="59" t="s">
        <v>81</v>
      </c>
      <c r="AI17" s="59" t="s">
        <v>80</v>
      </c>
      <c r="AJ17" s="59" t="s">
        <v>80</v>
      </c>
      <c r="AK17" s="59" t="s">
        <v>80</v>
      </c>
      <c r="AL17" s="59" t="s">
        <v>81</v>
      </c>
      <c r="AM17" s="59" t="s">
        <v>81</v>
      </c>
      <c r="AN17" s="59" t="s">
        <v>80</v>
      </c>
      <c r="AO17" s="59" t="s">
        <v>80</v>
      </c>
      <c r="AP17" s="59" t="s">
        <v>80</v>
      </c>
      <c r="AQ17" s="59" t="s">
        <v>81</v>
      </c>
      <c r="AR17" s="59" t="s">
        <v>81</v>
      </c>
      <c r="AS17" s="60" t="s">
        <v>80</v>
      </c>
    </row>
    <row r="18" spans="1:45">
      <c r="A18" s="57" t="s">
        <v>1380</v>
      </c>
      <c r="B18" s="57" t="s">
        <v>95</v>
      </c>
      <c r="C18" s="57" t="s">
        <v>96</v>
      </c>
      <c r="D18" s="57" t="s">
        <v>75</v>
      </c>
      <c r="E18" s="57" t="s">
        <v>121</v>
      </c>
      <c r="F18" s="57" t="s">
        <v>76</v>
      </c>
      <c r="G18" s="57" t="s">
        <v>77</v>
      </c>
      <c r="H18" s="57" t="s">
        <v>78</v>
      </c>
      <c r="I18" s="57" t="s">
        <v>79</v>
      </c>
      <c r="J18" s="57" t="s">
        <v>77</v>
      </c>
      <c r="K18" s="57" t="s">
        <v>78</v>
      </c>
      <c r="L18" s="57" t="s">
        <v>79</v>
      </c>
      <c r="M18" s="57" t="s">
        <v>80</v>
      </c>
      <c r="N18" s="57" t="s">
        <v>80</v>
      </c>
      <c r="O18" s="57" t="s">
        <v>80</v>
      </c>
      <c r="P18" s="57" t="s">
        <v>80</v>
      </c>
      <c r="Q18" s="57" t="s">
        <v>80</v>
      </c>
      <c r="R18" s="57" t="s">
        <v>81</v>
      </c>
      <c r="S18" s="57" t="s">
        <v>81</v>
      </c>
      <c r="T18" s="57" t="s">
        <v>80</v>
      </c>
      <c r="U18" s="57" t="s">
        <v>80</v>
      </c>
      <c r="V18" s="57" t="s">
        <v>80</v>
      </c>
      <c r="W18" s="57" t="s">
        <v>81</v>
      </c>
      <c r="X18" s="57" t="s">
        <v>81</v>
      </c>
      <c r="Y18" s="57" t="s">
        <v>80</v>
      </c>
      <c r="Z18" s="57" t="s">
        <v>80</v>
      </c>
      <c r="AA18" s="57" t="s">
        <v>80</v>
      </c>
      <c r="AB18" s="57" t="s">
        <v>81</v>
      </c>
      <c r="AC18" s="57" t="s">
        <v>81</v>
      </c>
      <c r="AD18" s="57" t="s">
        <v>80</v>
      </c>
      <c r="AE18" s="57" t="s">
        <v>80</v>
      </c>
      <c r="AF18" s="57" t="s">
        <v>80</v>
      </c>
      <c r="AG18" s="57" t="s">
        <v>81</v>
      </c>
      <c r="AH18" s="57" t="s">
        <v>81</v>
      </c>
      <c r="AI18" s="57" t="s">
        <v>80</v>
      </c>
      <c r="AJ18" s="57" t="s">
        <v>80</v>
      </c>
      <c r="AK18" s="57" t="s">
        <v>80</v>
      </c>
      <c r="AL18" s="57" t="s">
        <v>81</v>
      </c>
      <c r="AM18" s="57" t="s">
        <v>81</v>
      </c>
      <c r="AN18" s="57" t="s">
        <v>80</v>
      </c>
      <c r="AO18" s="57" t="s">
        <v>80</v>
      </c>
      <c r="AP18" s="57" t="s">
        <v>80</v>
      </c>
      <c r="AQ18" s="57" t="s">
        <v>81</v>
      </c>
      <c r="AR18" s="57" t="s">
        <v>81</v>
      </c>
      <c r="AS18" s="58" t="s">
        <v>80</v>
      </c>
    </row>
    <row r="19" spans="1:45">
      <c r="A19" s="59" t="s">
        <v>1380</v>
      </c>
      <c r="B19" s="59" t="s">
        <v>100</v>
      </c>
      <c r="C19" s="59" t="s">
        <v>101</v>
      </c>
      <c r="D19" s="59" t="s">
        <v>75</v>
      </c>
      <c r="E19" s="59" t="s">
        <v>1391</v>
      </c>
      <c r="F19" s="59" t="s">
        <v>76</v>
      </c>
      <c r="G19" s="59" t="s">
        <v>115</v>
      </c>
      <c r="H19" s="59" t="s">
        <v>195</v>
      </c>
      <c r="I19" s="59" t="s">
        <v>75</v>
      </c>
      <c r="J19" s="59" t="s">
        <v>115</v>
      </c>
      <c r="K19" s="59" t="s">
        <v>195</v>
      </c>
      <c r="L19" s="59" t="s">
        <v>75</v>
      </c>
      <c r="M19" s="59" t="s">
        <v>80</v>
      </c>
      <c r="N19" s="59" t="s">
        <v>80</v>
      </c>
      <c r="O19" s="59" t="s">
        <v>80</v>
      </c>
      <c r="P19" s="59" t="s">
        <v>80</v>
      </c>
      <c r="Q19" s="59" t="s">
        <v>80</v>
      </c>
      <c r="R19" s="59" t="s">
        <v>81</v>
      </c>
      <c r="S19" s="59" t="s">
        <v>81</v>
      </c>
      <c r="T19" s="59" t="s">
        <v>80</v>
      </c>
      <c r="U19" s="59" t="s">
        <v>80</v>
      </c>
      <c r="V19" s="59" t="s">
        <v>80</v>
      </c>
      <c r="W19" s="59" t="s">
        <v>81</v>
      </c>
      <c r="X19" s="59" t="s">
        <v>81</v>
      </c>
      <c r="Y19" s="59" t="s">
        <v>80</v>
      </c>
      <c r="Z19" s="59" t="s">
        <v>80</v>
      </c>
      <c r="AA19" s="59" t="s">
        <v>80</v>
      </c>
      <c r="AB19" s="59" t="s">
        <v>81</v>
      </c>
      <c r="AC19" s="59" t="s">
        <v>81</v>
      </c>
      <c r="AD19" s="59" t="s">
        <v>80</v>
      </c>
      <c r="AE19" s="59" t="s">
        <v>80</v>
      </c>
      <c r="AF19" s="59" t="s">
        <v>80</v>
      </c>
      <c r="AG19" s="59" t="s">
        <v>81</v>
      </c>
      <c r="AH19" s="59" t="s">
        <v>81</v>
      </c>
      <c r="AI19" s="59" t="s">
        <v>80</v>
      </c>
      <c r="AJ19" s="59" t="s">
        <v>80</v>
      </c>
      <c r="AK19" s="59" t="s">
        <v>80</v>
      </c>
      <c r="AL19" s="59" t="s">
        <v>81</v>
      </c>
      <c r="AM19" s="59" t="s">
        <v>81</v>
      </c>
      <c r="AN19" s="59" t="s">
        <v>80</v>
      </c>
      <c r="AO19" s="59" t="s">
        <v>80</v>
      </c>
      <c r="AP19" s="59" t="s">
        <v>80</v>
      </c>
      <c r="AQ19" s="59" t="s">
        <v>81</v>
      </c>
      <c r="AR19" s="59" t="s">
        <v>81</v>
      </c>
      <c r="AS19" s="60" t="s">
        <v>80</v>
      </c>
    </row>
    <row r="20" spans="1:45">
      <c r="A20" s="57" t="s">
        <v>1380</v>
      </c>
      <c r="B20" s="57" t="s">
        <v>36</v>
      </c>
      <c r="C20" s="57" t="s">
        <v>35</v>
      </c>
      <c r="D20" s="57" t="s">
        <v>103</v>
      </c>
      <c r="E20" s="57" t="s">
        <v>125</v>
      </c>
      <c r="F20" s="57" t="s">
        <v>76</v>
      </c>
      <c r="G20" s="57" t="s">
        <v>447</v>
      </c>
      <c r="H20" s="57" t="s">
        <v>1392</v>
      </c>
      <c r="I20" s="57" t="s">
        <v>103</v>
      </c>
      <c r="J20" s="57" t="s">
        <v>447</v>
      </c>
      <c r="K20" s="57" t="s">
        <v>1392</v>
      </c>
      <c r="L20" s="57" t="s">
        <v>103</v>
      </c>
      <c r="M20" s="57" t="s">
        <v>80</v>
      </c>
      <c r="N20" s="57" t="s">
        <v>80</v>
      </c>
      <c r="O20" s="57" t="s">
        <v>80</v>
      </c>
      <c r="P20" s="57" t="s">
        <v>404</v>
      </c>
      <c r="Q20" s="57" t="s">
        <v>82</v>
      </c>
      <c r="R20" s="57" t="s">
        <v>1393</v>
      </c>
      <c r="S20" s="57" t="s">
        <v>1394</v>
      </c>
      <c r="T20" s="57" t="s">
        <v>1392</v>
      </c>
      <c r="U20" s="57" t="s">
        <v>406</v>
      </c>
      <c r="V20" s="57" t="s">
        <v>90</v>
      </c>
      <c r="W20" s="57" t="s">
        <v>1395</v>
      </c>
      <c r="X20" s="57" t="s">
        <v>1396</v>
      </c>
      <c r="Y20" s="57" t="s">
        <v>478</v>
      </c>
      <c r="Z20" s="57" t="s">
        <v>404</v>
      </c>
      <c r="AA20" s="57" t="s">
        <v>82</v>
      </c>
      <c r="AB20" s="57" t="s">
        <v>1393</v>
      </c>
      <c r="AC20" s="57" t="s">
        <v>1394</v>
      </c>
      <c r="AD20" s="57" t="s">
        <v>1392</v>
      </c>
      <c r="AE20" s="57" t="s">
        <v>406</v>
      </c>
      <c r="AF20" s="57" t="s">
        <v>90</v>
      </c>
      <c r="AG20" s="57" t="s">
        <v>1395</v>
      </c>
      <c r="AH20" s="57" t="s">
        <v>1396</v>
      </c>
      <c r="AI20" s="57" t="s">
        <v>478</v>
      </c>
      <c r="AJ20" s="57" t="s">
        <v>80</v>
      </c>
      <c r="AK20" s="57" t="s">
        <v>80</v>
      </c>
      <c r="AL20" s="57" t="s">
        <v>81</v>
      </c>
      <c r="AM20" s="57" t="s">
        <v>81</v>
      </c>
      <c r="AN20" s="57" t="s">
        <v>80</v>
      </c>
      <c r="AO20" s="57" t="s">
        <v>80</v>
      </c>
      <c r="AP20" s="57" t="s">
        <v>80</v>
      </c>
      <c r="AQ20" s="57" t="s">
        <v>81</v>
      </c>
      <c r="AR20" s="57" t="s">
        <v>81</v>
      </c>
      <c r="AS20" s="58" t="s">
        <v>80</v>
      </c>
    </row>
    <row r="21" spans="1:45">
      <c r="A21" s="59" t="s">
        <v>1380</v>
      </c>
      <c r="B21" s="59" t="s">
        <v>106</v>
      </c>
      <c r="C21" s="59" t="s">
        <v>107</v>
      </c>
      <c r="D21" s="59" t="s">
        <v>75</v>
      </c>
      <c r="E21" s="59" t="s">
        <v>137</v>
      </c>
      <c r="F21" s="59" t="s">
        <v>76</v>
      </c>
      <c r="G21" s="59" t="s">
        <v>98</v>
      </c>
      <c r="H21" s="59" t="s">
        <v>161</v>
      </c>
      <c r="I21" s="59" t="s">
        <v>88</v>
      </c>
      <c r="J21" s="59" t="s">
        <v>98</v>
      </c>
      <c r="K21" s="59" t="s">
        <v>161</v>
      </c>
      <c r="L21" s="59" t="s">
        <v>88</v>
      </c>
      <c r="M21" s="59" t="s">
        <v>80</v>
      </c>
      <c r="N21" s="59" t="s">
        <v>80</v>
      </c>
      <c r="O21" s="59" t="s">
        <v>80</v>
      </c>
      <c r="P21" s="59" t="s">
        <v>80</v>
      </c>
      <c r="Q21" s="59" t="s">
        <v>80</v>
      </c>
      <c r="R21" s="59" t="s">
        <v>81</v>
      </c>
      <c r="S21" s="59" t="s">
        <v>81</v>
      </c>
      <c r="T21" s="59" t="s">
        <v>80</v>
      </c>
      <c r="U21" s="59" t="s">
        <v>80</v>
      </c>
      <c r="V21" s="59" t="s">
        <v>80</v>
      </c>
      <c r="W21" s="59" t="s">
        <v>81</v>
      </c>
      <c r="X21" s="59" t="s">
        <v>81</v>
      </c>
      <c r="Y21" s="59" t="s">
        <v>80</v>
      </c>
      <c r="Z21" s="59" t="s">
        <v>80</v>
      </c>
      <c r="AA21" s="59" t="s">
        <v>80</v>
      </c>
      <c r="AB21" s="59" t="s">
        <v>81</v>
      </c>
      <c r="AC21" s="59" t="s">
        <v>81</v>
      </c>
      <c r="AD21" s="59" t="s">
        <v>80</v>
      </c>
      <c r="AE21" s="59" t="s">
        <v>80</v>
      </c>
      <c r="AF21" s="59" t="s">
        <v>80</v>
      </c>
      <c r="AG21" s="59" t="s">
        <v>81</v>
      </c>
      <c r="AH21" s="59" t="s">
        <v>81</v>
      </c>
      <c r="AI21" s="59" t="s">
        <v>80</v>
      </c>
      <c r="AJ21" s="59" t="s">
        <v>80</v>
      </c>
      <c r="AK21" s="59" t="s">
        <v>80</v>
      </c>
      <c r="AL21" s="59" t="s">
        <v>81</v>
      </c>
      <c r="AM21" s="59" t="s">
        <v>81</v>
      </c>
      <c r="AN21" s="59" t="s">
        <v>80</v>
      </c>
      <c r="AO21" s="59" t="s">
        <v>80</v>
      </c>
      <c r="AP21" s="59" t="s">
        <v>80</v>
      </c>
      <c r="AQ21" s="59" t="s">
        <v>81</v>
      </c>
      <c r="AR21" s="59" t="s">
        <v>81</v>
      </c>
      <c r="AS21" s="60" t="s">
        <v>80</v>
      </c>
    </row>
    <row r="22" spans="1:45">
      <c r="A22" s="57" t="s">
        <v>1380</v>
      </c>
      <c r="B22" s="57" t="s">
        <v>407</v>
      </c>
      <c r="C22" s="57" t="s">
        <v>408</v>
      </c>
      <c r="D22" s="57" t="s">
        <v>75</v>
      </c>
      <c r="E22" s="57" t="s">
        <v>453</v>
      </c>
      <c r="F22" s="57" t="s">
        <v>76</v>
      </c>
      <c r="G22" s="57" t="s">
        <v>90</v>
      </c>
      <c r="H22" s="57" t="s">
        <v>75</v>
      </c>
      <c r="I22" s="57" t="s">
        <v>79</v>
      </c>
      <c r="J22" s="57" t="s">
        <v>90</v>
      </c>
      <c r="K22" s="57" t="s">
        <v>75</v>
      </c>
      <c r="L22" s="57" t="s">
        <v>79</v>
      </c>
      <c r="M22" s="57" t="s">
        <v>80</v>
      </c>
      <c r="N22" s="57" t="s">
        <v>80</v>
      </c>
      <c r="O22" s="57" t="s">
        <v>80</v>
      </c>
      <c r="P22" s="57" t="s">
        <v>80</v>
      </c>
      <c r="Q22" s="57" t="s">
        <v>80</v>
      </c>
      <c r="R22" s="57" t="s">
        <v>81</v>
      </c>
      <c r="S22" s="57" t="s">
        <v>81</v>
      </c>
      <c r="T22" s="57" t="s">
        <v>80</v>
      </c>
      <c r="U22" s="57" t="s">
        <v>80</v>
      </c>
      <c r="V22" s="57" t="s">
        <v>80</v>
      </c>
      <c r="W22" s="57" t="s">
        <v>81</v>
      </c>
      <c r="X22" s="57" t="s">
        <v>81</v>
      </c>
      <c r="Y22" s="57" t="s">
        <v>80</v>
      </c>
      <c r="Z22" s="57" t="s">
        <v>80</v>
      </c>
      <c r="AA22" s="57" t="s">
        <v>80</v>
      </c>
      <c r="AB22" s="57" t="s">
        <v>81</v>
      </c>
      <c r="AC22" s="57" t="s">
        <v>81</v>
      </c>
      <c r="AD22" s="57" t="s">
        <v>80</v>
      </c>
      <c r="AE22" s="57" t="s">
        <v>80</v>
      </c>
      <c r="AF22" s="57" t="s">
        <v>80</v>
      </c>
      <c r="AG22" s="57" t="s">
        <v>81</v>
      </c>
      <c r="AH22" s="57" t="s">
        <v>81</v>
      </c>
      <c r="AI22" s="57" t="s">
        <v>80</v>
      </c>
      <c r="AJ22" s="57" t="s">
        <v>80</v>
      </c>
      <c r="AK22" s="57" t="s">
        <v>80</v>
      </c>
      <c r="AL22" s="57" t="s">
        <v>81</v>
      </c>
      <c r="AM22" s="57" t="s">
        <v>81</v>
      </c>
      <c r="AN22" s="57" t="s">
        <v>80</v>
      </c>
      <c r="AO22" s="57" t="s">
        <v>80</v>
      </c>
      <c r="AP22" s="57" t="s">
        <v>80</v>
      </c>
      <c r="AQ22" s="57" t="s">
        <v>81</v>
      </c>
      <c r="AR22" s="57" t="s">
        <v>81</v>
      </c>
      <c r="AS22" s="58" t="s">
        <v>80</v>
      </c>
    </row>
    <row r="23" spans="1:45">
      <c r="A23" s="59" t="s">
        <v>1380</v>
      </c>
      <c r="B23" s="59" t="s">
        <v>109</v>
      </c>
      <c r="C23" s="59" t="s">
        <v>110</v>
      </c>
      <c r="D23" s="59" t="s">
        <v>75</v>
      </c>
      <c r="E23" s="59" t="s">
        <v>198</v>
      </c>
      <c r="F23" s="59" t="s">
        <v>76</v>
      </c>
      <c r="G23" s="59" t="s">
        <v>448</v>
      </c>
      <c r="H23" s="59" t="s">
        <v>449</v>
      </c>
      <c r="I23" s="59" t="s">
        <v>79</v>
      </c>
      <c r="J23" s="59" t="s">
        <v>448</v>
      </c>
      <c r="K23" s="59" t="s">
        <v>449</v>
      </c>
      <c r="L23" s="59" t="s">
        <v>79</v>
      </c>
      <c r="M23" s="59" t="s">
        <v>80</v>
      </c>
      <c r="N23" s="59" t="s">
        <v>80</v>
      </c>
      <c r="O23" s="59" t="s">
        <v>80</v>
      </c>
      <c r="P23" s="59" t="s">
        <v>80</v>
      </c>
      <c r="Q23" s="59" t="s">
        <v>80</v>
      </c>
      <c r="R23" s="59" t="s">
        <v>81</v>
      </c>
      <c r="S23" s="59" t="s">
        <v>81</v>
      </c>
      <c r="T23" s="59" t="s">
        <v>80</v>
      </c>
      <c r="U23" s="59" t="s">
        <v>80</v>
      </c>
      <c r="V23" s="59" t="s">
        <v>80</v>
      </c>
      <c r="W23" s="59" t="s">
        <v>81</v>
      </c>
      <c r="X23" s="59" t="s">
        <v>81</v>
      </c>
      <c r="Y23" s="59" t="s">
        <v>80</v>
      </c>
      <c r="Z23" s="59" t="s">
        <v>80</v>
      </c>
      <c r="AA23" s="59" t="s">
        <v>80</v>
      </c>
      <c r="AB23" s="59" t="s">
        <v>81</v>
      </c>
      <c r="AC23" s="59" t="s">
        <v>81</v>
      </c>
      <c r="AD23" s="59" t="s">
        <v>80</v>
      </c>
      <c r="AE23" s="59" t="s">
        <v>80</v>
      </c>
      <c r="AF23" s="59" t="s">
        <v>80</v>
      </c>
      <c r="AG23" s="59" t="s">
        <v>81</v>
      </c>
      <c r="AH23" s="59" t="s">
        <v>81</v>
      </c>
      <c r="AI23" s="59" t="s">
        <v>80</v>
      </c>
      <c r="AJ23" s="59" t="s">
        <v>80</v>
      </c>
      <c r="AK23" s="59" t="s">
        <v>80</v>
      </c>
      <c r="AL23" s="59" t="s">
        <v>81</v>
      </c>
      <c r="AM23" s="59" t="s">
        <v>81</v>
      </c>
      <c r="AN23" s="59" t="s">
        <v>80</v>
      </c>
      <c r="AO23" s="59" t="s">
        <v>80</v>
      </c>
      <c r="AP23" s="59" t="s">
        <v>80</v>
      </c>
      <c r="AQ23" s="59" t="s">
        <v>81</v>
      </c>
      <c r="AR23" s="59" t="s">
        <v>81</v>
      </c>
      <c r="AS23" s="60" t="s">
        <v>80</v>
      </c>
    </row>
    <row r="24" spans="1:45">
      <c r="A24" s="57" t="s">
        <v>1380</v>
      </c>
      <c r="B24" s="57" t="s">
        <v>23</v>
      </c>
      <c r="C24" s="57" t="s">
        <v>22</v>
      </c>
      <c r="D24" s="57" t="s">
        <v>103</v>
      </c>
      <c r="E24" s="57" t="s">
        <v>453</v>
      </c>
      <c r="F24" s="57" t="s">
        <v>76</v>
      </c>
      <c r="G24" s="57" t="s">
        <v>94</v>
      </c>
      <c r="H24" s="57" t="s">
        <v>1397</v>
      </c>
      <c r="I24" s="57" t="s">
        <v>88</v>
      </c>
      <c r="J24" s="57" t="s">
        <v>94</v>
      </c>
      <c r="K24" s="57" t="s">
        <v>1397</v>
      </c>
      <c r="L24" s="57" t="s">
        <v>88</v>
      </c>
      <c r="M24" s="57" t="s">
        <v>80</v>
      </c>
      <c r="N24" s="57" t="s">
        <v>80</v>
      </c>
      <c r="O24" s="57" t="s">
        <v>80</v>
      </c>
      <c r="P24" s="57" t="s">
        <v>80</v>
      </c>
      <c r="Q24" s="57" t="s">
        <v>80</v>
      </c>
      <c r="R24" s="57" t="s">
        <v>81</v>
      </c>
      <c r="S24" s="57" t="s">
        <v>81</v>
      </c>
      <c r="T24" s="57" t="s">
        <v>80</v>
      </c>
      <c r="U24" s="57" t="s">
        <v>80</v>
      </c>
      <c r="V24" s="57" t="s">
        <v>80</v>
      </c>
      <c r="W24" s="57" t="s">
        <v>81</v>
      </c>
      <c r="X24" s="57" t="s">
        <v>81</v>
      </c>
      <c r="Y24" s="57" t="s">
        <v>80</v>
      </c>
      <c r="Z24" s="57" t="s">
        <v>80</v>
      </c>
      <c r="AA24" s="57" t="s">
        <v>80</v>
      </c>
      <c r="AB24" s="57" t="s">
        <v>81</v>
      </c>
      <c r="AC24" s="57" t="s">
        <v>81</v>
      </c>
      <c r="AD24" s="57" t="s">
        <v>80</v>
      </c>
      <c r="AE24" s="57" t="s">
        <v>80</v>
      </c>
      <c r="AF24" s="57" t="s">
        <v>80</v>
      </c>
      <c r="AG24" s="57" t="s">
        <v>81</v>
      </c>
      <c r="AH24" s="57" t="s">
        <v>81</v>
      </c>
      <c r="AI24" s="57" t="s">
        <v>80</v>
      </c>
      <c r="AJ24" s="57" t="s">
        <v>80</v>
      </c>
      <c r="AK24" s="57" t="s">
        <v>80</v>
      </c>
      <c r="AL24" s="57" t="s">
        <v>81</v>
      </c>
      <c r="AM24" s="57" t="s">
        <v>81</v>
      </c>
      <c r="AN24" s="57" t="s">
        <v>80</v>
      </c>
      <c r="AO24" s="57" t="s">
        <v>80</v>
      </c>
      <c r="AP24" s="57" t="s">
        <v>80</v>
      </c>
      <c r="AQ24" s="57" t="s">
        <v>81</v>
      </c>
      <c r="AR24" s="57" t="s">
        <v>81</v>
      </c>
      <c r="AS24" s="58" t="s">
        <v>80</v>
      </c>
    </row>
    <row r="25" spans="1:45">
      <c r="A25" s="59" t="s">
        <v>1380</v>
      </c>
      <c r="B25" s="59" t="s">
        <v>409</v>
      </c>
      <c r="C25" s="59" t="s">
        <v>410</v>
      </c>
      <c r="D25" s="59" t="s">
        <v>75</v>
      </c>
      <c r="E25" s="59" t="s">
        <v>224</v>
      </c>
      <c r="F25" s="59" t="s">
        <v>76</v>
      </c>
      <c r="G25" s="59" t="s">
        <v>82</v>
      </c>
      <c r="H25" s="59" t="s">
        <v>75</v>
      </c>
      <c r="I25" s="59" t="s">
        <v>75</v>
      </c>
      <c r="J25" s="59" t="s">
        <v>82</v>
      </c>
      <c r="K25" s="59" t="s">
        <v>75</v>
      </c>
      <c r="L25" s="59" t="s">
        <v>75</v>
      </c>
      <c r="M25" s="59" t="s">
        <v>80</v>
      </c>
      <c r="N25" s="59" t="s">
        <v>80</v>
      </c>
      <c r="O25" s="59" t="s">
        <v>80</v>
      </c>
      <c r="P25" s="59" t="s">
        <v>80</v>
      </c>
      <c r="Q25" s="59" t="s">
        <v>80</v>
      </c>
      <c r="R25" s="59" t="s">
        <v>81</v>
      </c>
      <c r="S25" s="59" t="s">
        <v>81</v>
      </c>
      <c r="T25" s="59" t="s">
        <v>80</v>
      </c>
      <c r="U25" s="59" t="s">
        <v>80</v>
      </c>
      <c r="V25" s="59" t="s">
        <v>80</v>
      </c>
      <c r="W25" s="59" t="s">
        <v>81</v>
      </c>
      <c r="X25" s="59" t="s">
        <v>81</v>
      </c>
      <c r="Y25" s="59" t="s">
        <v>80</v>
      </c>
      <c r="Z25" s="59" t="s">
        <v>80</v>
      </c>
      <c r="AA25" s="59" t="s">
        <v>80</v>
      </c>
      <c r="AB25" s="59" t="s">
        <v>81</v>
      </c>
      <c r="AC25" s="59" t="s">
        <v>81</v>
      </c>
      <c r="AD25" s="59" t="s">
        <v>80</v>
      </c>
      <c r="AE25" s="59" t="s">
        <v>80</v>
      </c>
      <c r="AF25" s="59" t="s">
        <v>80</v>
      </c>
      <c r="AG25" s="59" t="s">
        <v>81</v>
      </c>
      <c r="AH25" s="59" t="s">
        <v>81</v>
      </c>
      <c r="AI25" s="59" t="s">
        <v>80</v>
      </c>
      <c r="AJ25" s="59" t="s">
        <v>80</v>
      </c>
      <c r="AK25" s="59" t="s">
        <v>80</v>
      </c>
      <c r="AL25" s="59" t="s">
        <v>81</v>
      </c>
      <c r="AM25" s="59" t="s">
        <v>81</v>
      </c>
      <c r="AN25" s="59" t="s">
        <v>80</v>
      </c>
      <c r="AO25" s="59" t="s">
        <v>80</v>
      </c>
      <c r="AP25" s="59" t="s">
        <v>80</v>
      </c>
      <c r="AQ25" s="59" t="s">
        <v>81</v>
      </c>
      <c r="AR25" s="59" t="s">
        <v>81</v>
      </c>
      <c r="AS25" s="60" t="s">
        <v>80</v>
      </c>
    </row>
    <row r="26" spans="1:45">
      <c r="A26" s="57" t="s">
        <v>1380</v>
      </c>
      <c r="B26" s="57" t="s">
        <v>1398</v>
      </c>
      <c r="C26" s="57" t="s">
        <v>874</v>
      </c>
      <c r="D26" s="57" t="s">
        <v>75</v>
      </c>
      <c r="E26" s="57" t="s">
        <v>137</v>
      </c>
      <c r="F26" s="57" t="s">
        <v>76</v>
      </c>
      <c r="G26" s="57" t="s">
        <v>115</v>
      </c>
      <c r="H26" s="57" t="s">
        <v>195</v>
      </c>
      <c r="I26" s="57" t="s">
        <v>75</v>
      </c>
      <c r="J26" s="57" t="s">
        <v>115</v>
      </c>
      <c r="K26" s="57" t="s">
        <v>195</v>
      </c>
      <c r="L26" s="57" t="s">
        <v>75</v>
      </c>
      <c r="M26" s="57" t="s">
        <v>80</v>
      </c>
      <c r="N26" s="57" t="s">
        <v>80</v>
      </c>
      <c r="O26" s="57" t="s">
        <v>80</v>
      </c>
      <c r="P26" s="57" t="s">
        <v>80</v>
      </c>
      <c r="Q26" s="57" t="s">
        <v>80</v>
      </c>
      <c r="R26" s="57" t="s">
        <v>81</v>
      </c>
      <c r="S26" s="57" t="s">
        <v>81</v>
      </c>
      <c r="T26" s="57" t="s">
        <v>80</v>
      </c>
      <c r="U26" s="57" t="s">
        <v>80</v>
      </c>
      <c r="V26" s="57" t="s">
        <v>80</v>
      </c>
      <c r="W26" s="57" t="s">
        <v>81</v>
      </c>
      <c r="X26" s="57" t="s">
        <v>81</v>
      </c>
      <c r="Y26" s="57" t="s">
        <v>80</v>
      </c>
      <c r="Z26" s="57" t="s">
        <v>80</v>
      </c>
      <c r="AA26" s="57" t="s">
        <v>80</v>
      </c>
      <c r="AB26" s="57" t="s">
        <v>81</v>
      </c>
      <c r="AC26" s="57" t="s">
        <v>81</v>
      </c>
      <c r="AD26" s="57" t="s">
        <v>80</v>
      </c>
      <c r="AE26" s="57" t="s">
        <v>80</v>
      </c>
      <c r="AF26" s="57" t="s">
        <v>80</v>
      </c>
      <c r="AG26" s="57" t="s">
        <v>81</v>
      </c>
      <c r="AH26" s="57" t="s">
        <v>81</v>
      </c>
      <c r="AI26" s="57" t="s">
        <v>80</v>
      </c>
      <c r="AJ26" s="57" t="s">
        <v>80</v>
      </c>
      <c r="AK26" s="57" t="s">
        <v>80</v>
      </c>
      <c r="AL26" s="57" t="s">
        <v>81</v>
      </c>
      <c r="AM26" s="57" t="s">
        <v>81</v>
      </c>
      <c r="AN26" s="57" t="s">
        <v>80</v>
      </c>
      <c r="AO26" s="57" t="s">
        <v>80</v>
      </c>
      <c r="AP26" s="57" t="s">
        <v>80</v>
      </c>
      <c r="AQ26" s="57" t="s">
        <v>81</v>
      </c>
      <c r="AR26" s="57" t="s">
        <v>81</v>
      </c>
      <c r="AS26" s="58" t="s">
        <v>80</v>
      </c>
    </row>
    <row r="27" spans="1:45">
      <c r="A27" s="59" t="s">
        <v>1380</v>
      </c>
      <c r="B27" s="59" t="s">
        <v>117</v>
      </c>
      <c r="C27" s="59" t="s">
        <v>118</v>
      </c>
      <c r="D27" s="59" t="s">
        <v>75</v>
      </c>
      <c r="E27" s="59" t="s">
        <v>108</v>
      </c>
      <c r="F27" s="59" t="s">
        <v>76</v>
      </c>
      <c r="G27" s="59" t="s">
        <v>82</v>
      </c>
      <c r="H27" s="59" t="s">
        <v>75</v>
      </c>
      <c r="I27" s="59" t="s">
        <v>75</v>
      </c>
      <c r="J27" s="59" t="s">
        <v>82</v>
      </c>
      <c r="K27" s="59" t="s">
        <v>75</v>
      </c>
      <c r="L27" s="59" t="s">
        <v>75</v>
      </c>
      <c r="M27" s="59" t="s">
        <v>80</v>
      </c>
      <c r="N27" s="59" t="s">
        <v>80</v>
      </c>
      <c r="O27" s="59" t="s">
        <v>80</v>
      </c>
      <c r="P27" s="59" t="s">
        <v>80</v>
      </c>
      <c r="Q27" s="59" t="s">
        <v>80</v>
      </c>
      <c r="R27" s="59" t="s">
        <v>81</v>
      </c>
      <c r="S27" s="59" t="s">
        <v>81</v>
      </c>
      <c r="T27" s="59" t="s">
        <v>80</v>
      </c>
      <c r="U27" s="59" t="s">
        <v>80</v>
      </c>
      <c r="V27" s="59" t="s">
        <v>80</v>
      </c>
      <c r="W27" s="59" t="s">
        <v>81</v>
      </c>
      <c r="X27" s="59" t="s">
        <v>81</v>
      </c>
      <c r="Y27" s="59" t="s">
        <v>80</v>
      </c>
      <c r="Z27" s="59" t="s">
        <v>80</v>
      </c>
      <c r="AA27" s="59" t="s">
        <v>80</v>
      </c>
      <c r="AB27" s="59" t="s">
        <v>81</v>
      </c>
      <c r="AC27" s="59" t="s">
        <v>81</v>
      </c>
      <c r="AD27" s="59" t="s">
        <v>80</v>
      </c>
      <c r="AE27" s="59" t="s">
        <v>80</v>
      </c>
      <c r="AF27" s="59" t="s">
        <v>80</v>
      </c>
      <c r="AG27" s="59" t="s">
        <v>81</v>
      </c>
      <c r="AH27" s="59" t="s">
        <v>81</v>
      </c>
      <c r="AI27" s="59" t="s">
        <v>80</v>
      </c>
      <c r="AJ27" s="59" t="s">
        <v>80</v>
      </c>
      <c r="AK27" s="59" t="s">
        <v>80</v>
      </c>
      <c r="AL27" s="59" t="s">
        <v>81</v>
      </c>
      <c r="AM27" s="59" t="s">
        <v>81</v>
      </c>
      <c r="AN27" s="59" t="s">
        <v>80</v>
      </c>
      <c r="AO27" s="59" t="s">
        <v>80</v>
      </c>
      <c r="AP27" s="59" t="s">
        <v>80</v>
      </c>
      <c r="AQ27" s="59" t="s">
        <v>81</v>
      </c>
      <c r="AR27" s="59" t="s">
        <v>81</v>
      </c>
      <c r="AS27" s="60" t="s">
        <v>80</v>
      </c>
    </row>
    <row r="28" spans="1:45">
      <c r="A28" s="57" t="s">
        <v>1380</v>
      </c>
      <c r="B28" s="57" t="s">
        <v>411</v>
      </c>
      <c r="C28" s="57" t="s">
        <v>412</v>
      </c>
      <c r="D28" s="57" t="s">
        <v>75</v>
      </c>
      <c r="E28" s="57" t="s">
        <v>137</v>
      </c>
      <c r="F28" s="57" t="s">
        <v>76</v>
      </c>
      <c r="G28" s="57" t="s">
        <v>93</v>
      </c>
      <c r="H28" s="57" t="s">
        <v>91</v>
      </c>
      <c r="I28" s="57" t="s">
        <v>94</v>
      </c>
      <c r="J28" s="57" t="s">
        <v>93</v>
      </c>
      <c r="K28" s="57" t="s">
        <v>91</v>
      </c>
      <c r="L28" s="57" t="s">
        <v>94</v>
      </c>
      <c r="M28" s="57" t="s">
        <v>80</v>
      </c>
      <c r="N28" s="57" t="s">
        <v>80</v>
      </c>
      <c r="O28" s="57" t="s">
        <v>80</v>
      </c>
      <c r="P28" s="57" t="s">
        <v>80</v>
      </c>
      <c r="Q28" s="57" t="s">
        <v>80</v>
      </c>
      <c r="R28" s="57" t="s">
        <v>81</v>
      </c>
      <c r="S28" s="57" t="s">
        <v>81</v>
      </c>
      <c r="T28" s="57" t="s">
        <v>80</v>
      </c>
      <c r="U28" s="57" t="s">
        <v>80</v>
      </c>
      <c r="V28" s="57" t="s">
        <v>80</v>
      </c>
      <c r="W28" s="57" t="s">
        <v>81</v>
      </c>
      <c r="X28" s="57" t="s">
        <v>81</v>
      </c>
      <c r="Y28" s="57" t="s">
        <v>80</v>
      </c>
      <c r="Z28" s="57" t="s">
        <v>80</v>
      </c>
      <c r="AA28" s="57" t="s">
        <v>80</v>
      </c>
      <c r="AB28" s="57" t="s">
        <v>81</v>
      </c>
      <c r="AC28" s="57" t="s">
        <v>81</v>
      </c>
      <c r="AD28" s="57" t="s">
        <v>80</v>
      </c>
      <c r="AE28" s="57" t="s">
        <v>80</v>
      </c>
      <c r="AF28" s="57" t="s">
        <v>80</v>
      </c>
      <c r="AG28" s="57" t="s">
        <v>81</v>
      </c>
      <c r="AH28" s="57" t="s">
        <v>81</v>
      </c>
      <c r="AI28" s="57" t="s">
        <v>80</v>
      </c>
      <c r="AJ28" s="57" t="s">
        <v>80</v>
      </c>
      <c r="AK28" s="57" t="s">
        <v>80</v>
      </c>
      <c r="AL28" s="57" t="s">
        <v>81</v>
      </c>
      <c r="AM28" s="57" t="s">
        <v>81</v>
      </c>
      <c r="AN28" s="57" t="s">
        <v>80</v>
      </c>
      <c r="AO28" s="57" t="s">
        <v>80</v>
      </c>
      <c r="AP28" s="57" t="s">
        <v>80</v>
      </c>
      <c r="AQ28" s="57" t="s">
        <v>81</v>
      </c>
      <c r="AR28" s="57" t="s">
        <v>81</v>
      </c>
      <c r="AS28" s="58" t="s">
        <v>80</v>
      </c>
    </row>
    <row r="29" spans="1:45">
      <c r="A29" s="59" t="s">
        <v>1380</v>
      </c>
      <c r="B29" s="59" t="s">
        <v>413</v>
      </c>
      <c r="C29" s="59" t="s">
        <v>414</v>
      </c>
      <c r="D29" s="59" t="s">
        <v>75</v>
      </c>
      <c r="E29" s="59" t="s">
        <v>114</v>
      </c>
      <c r="F29" s="59" t="s">
        <v>76</v>
      </c>
      <c r="G29" s="59" t="s">
        <v>82</v>
      </c>
      <c r="H29" s="59" t="s">
        <v>75</v>
      </c>
      <c r="I29" s="59" t="s">
        <v>75</v>
      </c>
      <c r="J29" s="59" t="s">
        <v>82</v>
      </c>
      <c r="K29" s="59" t="s">
        <v>75</v>
      </c>
      <c r="L29" s="59" t="s">
        <v>75</v>
      </c>
      <c r="M29" s="59" t="s">
        <v>80</v>
      </c>
      <c r="N29" s="59" t="s">
        <v>80</v>
      </c>
      <c r="O29" s="59" t="s">
        <v>80</v>
      </c>
      <c r="P29" s="59" t="s">
        <v>80</v>
      </c>
      <c r="Q29" s="59" t="s">
        <v>80</v>
      </c>
      <c r="R29" s="59" t="s">
        <v>81</v>
      </c>
      <c r="S29" s="59" t="s">
        <v>81</v>
      </c>
      <c r="T29" s="59" t="s">
        <v>80</v>
      </c>
      <c r="U29" s="59" t="s">
        <v>80</v>
      </c>
      <c r="V29" s="59" t="s">
        <v>80</v>
      </c>
      <c r="W29" s="59" t="s">
        <v>81</v>
      </c>
      <c r="X29" s="59" t="s">
        <v>81</v>
      </c>
      <c r="Y29" s="59" t="s">
        <v>80</v>
      </c>
      <c r="Z29" s="59" t="s">
        <v>80</v>
      </c>
      <c r="AA29" s="59" t="s">
        <v>80</v>
      </c>
      <c r="AB29" s="59" t="s">
        <v>81</v>
      </c>
      <c r="AC29" s="59" t="s">
        <v>81</v>
      </c>
      <c r="AD29" s="59" t="s">
        <v>80</v>
      </c>
      <c r="AE29" s="59" t="s">
        <v>80</v>
      </c>
      <c r="AF29" s="59" t="s">
        <v>80</v>
      </c>
      <c r="AG29" s="59" t="s">
        <v>81</v>
      </c>
      <c r="AH29" s="59" t="s">
        <v>81</v>
      </c>
      <c r="AI29" s="59" t="s">
        <v>80</v>
      </c>
      <c r="AJ29" s="59" t="s">
        <v>80</v>
      </c>
      <c r="AK29" s="59" t="s">
        <v>80</v>
      </c>
      <c r="AL29" s="59" t="s">
        <v>81</v>
      </c>
      <c r="AM29" s="59" t="s">
        <v>81</v>
      </c>
      <c r="AN29" s="59" t="s">
        <v>80</v>
      </c>
      <c r="AO29" s="59" t="s">
        <v>80</v>
      </c>
      <c r="AP29" s="59" t="s">
        <v>80</v>
      </c>
      <c r="AQ29" s="59" t="s">
        <v>81</v>
      </c>
      <c r="AR29" s="59" t="s">
        <v>81</v>
      </c>
      <c r="AS29" s="60" t="s">
        <v>80</v>
      </c>
    </row>
    <row r="30" spans="1:45">
      <c r="A30" s="57" t="s">
        <v>1380</v>
      </c>
      <c r="B30" s="57" t="s">
        <v>119</v>
      </c>
      <c r="C30" s="57" t="s">
        <v>120</v>
      </c>
      <c r="D30" s="57" t="s">
        <v>75</v>
      </c>
      <c r="E30" s="57" t="s">
        <v>1399</v>
      </c>
      <c r="F30" s="57" t="s">
        <v>76</v>
      </c>
      <c r="G30" s="57" t="s">
        <v>98</v>
      </c>
      <c r="H30" s="57" t="s">
        <v>161</v>
      </c>
      <c r="I30" s="57" t="s">
        <v>88</v>
      </c>
      <c r="J30" s="57" t="s">
        <v>98</v>
      </c>
      <c r="K30" s="57" t="s">
        <v>161</v>
      </c>
      <c r="L30" s="57" t="s">
        <v>88</v>
      </c>
      <c r="M30" s="57" t="s">
        <v>80</v>
      </c>
      <c r="N30" s="57" t="s">
        <v>80</v>
      </c>
      <c r="O30" s="57" t="s">
        <v>80</v>
      </c>
      <c r="P30" s="57" t="s">
        <v>80</v>
      </c>
      <c r="Q30" s="57" t="s">
        <v>80</v>
      </c>
      <c r="R30" s="57" t="s">
        <v>81</v>
      </c>
      <c r="S30" s="57" t="s">
        <v>81</v>
      </c>
      <c r="T30" s="57" t="s">
        <v>80</v>
      </c>
      <c r="U30" s="57" t="s">
        <v>80</v>
      </c>
      <c r="V30" s="57" t="s">
        <v>80</v>
      </c>
      <c r="W30" s="57" t="s">
        <v>81</v>
      </c>
      <c r="X30" s="57" t="s">
        <v>81</v>
      </c>
      <c r="Y30" s="57" t="s">
        <v>80</v>
      </c>
      <c r="Z30" s="57" t="s">
        <v>80</v>
      </c>
      <c r="AA30" s="57" t="s">
        <v>80</v>
      </c>
      <c r="AB30" s="57" t="s">
        <v>81</v>
      </c>
      <c r="AC30" s="57" t="s">
        <v>81</v>
      </c>
      <c r="AD30" s="57" t="s">
        <v>80</v>
      </c>
      <c r="AE30" s="57" t="s">
        <v>80</v>
      </c>
      <c r="AF30" s="57" t="s">
        <v>80</v>
      </c>
      <c r="AG30" s="57" t="s">
        <v>81</v>
      </c>
      <c r="AH30" s="57" t="s">
        <v>81</v>
      </c>
      <c r="AI30" s="57" t="s">
        <v>80</v>
      </c>
      <c r="AJ30" s="57" t="s">
        <v>80</v>
      </c>
      <c r="AK30" s="57" t="s">
        <v>80</v>
      </c>
      <c r="AL30" s="57" t="s">
        <v>81</v>
      </c>
      <c r="AM30" s="57" t="s">
        <v>81</v>
      </c>
      <c r="AN30" s="57" t="s">
        <v>80</v>
      </c>
      <c r="AO30" s="57" t="s">
        <v>80</v>
      </c>
      <c r="AP30" s="57" t="s">
        <v>80</v>
      </c>
      <c r="AQ30" s="57" t="s">
        <v>81</v>
      </c>
      <c r="AR30" s="57" t="s">
        <v>81</v>
      </c>
      <c r="AS30" s="58" t="s">
        <v>80</v>
      </c>
    </row>
    <row r="31" spans="1:45">
      <c r="A31" s="59" t="s">
        <v>1380</v>
      </c>
      <c r="B31" s="59" t="s">
        <v>122</v>
      </c>
      <c r="C31" s="59" t="s">
        <v>123</v>
      </c>
      <c r="D31" s="59" t="s">
        <v>75</v>
      </c>
      <c r="E31" s="59" t="s">
        <v>92</v>
      </c>
      <c r="F31" s="59" t="s">
        <v>76</v>
      </c>
      <c r="G31" s="59" t="s">
        <v>115</v>
      </c>
      <c r="H31" s="59" t="s">
        <v>91</v>
      </c>
      <c r="I31" s="59" t="s">
        <v>79</v>
      </c>
      <c r="J31" s="59" t="s">
        <v>115</v>
      </c>
      <c r="K31" s="59" t="s">
        <v>91</v>
      </c>
      <c r="L31" s="59" t="s">
        <v>79</v>
      </c>
      <c r="M31" s="59" t="s">
        <v>80</v>
      </c>
      <c r="N31" s="59" t="s">
        <v>80</v>
      </c>
      <c r="O31" s="59" t="s">
        <v>80</v>
      </c>
      <c r="P31" s="59" t="s">
        <v>80</v>
      </c>
      <c r="Q31" s="59" t="s">
        <v>80</v>
      </c>
      <c r="R31" s="59" t="s">
        <v>81</v>
      </c>
      <c r="S31" s="59" t="s">
        <v>81</v>
      </c>
      <c r="T31" s="59" t="s">
        <v>80</v>
      </c>
      <c r="U31" s="59" t="s">
        <v>80</v>
      </c>
      <c r="V31" s="59" t="s">
        <v>80</v>
      </c>
      <c r="W31" s="59" t="s">
        <v>81</v>
      </c>
      <c r="X31" s="59" t="s">
        <v>81</v>
      </c>
      <c r="Y31" s="59" t="s">
        <v>80</v>
      </c>
      <c r="Z31" s="59" t="s">
        <v>80</v>
      </c>
      <c r="AA31" s="59" t="s">
        <v>80</v>
      </c>
      <c r="AB31" s="59" t="s">
        <v>81</v>
      </c>
      <c r="AC31" s="59" t="s">
        <v>81</v>
      </c>
      <c r="AD31" s="59" t="s">
        <v>80</v>
      </c>
      <c r="AE31" s="59" t="s">
        <v>80</v>
      </c>
      <c r="AF31" s="59" t="s">
        <v>80</v>
      </c>
      <c r="AG31" s="59" t="s">
        <v>81</v>
      </c>
      <c r="AH31" s="59" t="s">
        <v>81</v>
      </c>
      <c r="AI31" s="59" t="s">
        <v>80</v>
      </c>
      <c r="AJ31" s="59" t="s">
        <v>80</v>
      </c>
      <c r="AK31" s="59" t="s">
        <v>80</v>
      </c>
      <c r="AL31" s="59" t="s">
        <v>81</v>
      </c>
      <c r="AM31" s="59" t="s">
        <v>81</v>
      </c>
      <c r="AN31" s="59" t="s">
        <v>80</v>
      </c>
      <c r="AO31" s="59" t="s">
        <v>80</v>
      </c>
      <c r="AP31" s="59" t="s">
        <v>80</v>
      </c>
      <c r="AQ31" s="59" t="s">
        <v>81</v>
      </c>
      <c r="AR31" s="59" t="s">
        <v>81</v>
      </c>
      <c r="AS31" s="60" t="s">
        <v>80</v>
      </c>
    </row>
    <row r="32" spans="1:45">
      <c r="A32" s="57" t="s">
        <v>1380</v>
      </c>
      <c r="B32" s="57" t="s">
        <v>417</v>
      </c>
      <c r="C32" s="57" t="s">
        <v>418</v>
      </c>
      <c r="D32" s="57" t="s">
        <v>75</v>
      </c>
      <c r="E32" s="57" t="s">
        <v>127</v>
      </c>
      <c r="F32" s="57" t="s">
        <v>76</v>
      </c>
      <c r="G32" s="57" t="s">
        <v>105</v>
      </c>
      <c r="H32" s="57" t="s">
        <v>422</v>
      </c>
      <c r="I32" s="57" t="s">
        <v>88</v>
      </c>
      <c r="J32" s="57" t="s">
        <v>105</v>
      </c>
      <c r="K32" s="57" t="s">
        <v>422</v>
      </c>
      <c r="L32" s="57" t="s">
        <v>88</v>
      </c>
      <c r="M32" s="57" t="s">
        <v>80</v>
      </c>
      <c r="N32" s="57" t="s">
        <v>80</v>
      </c>
      <c r="O32" s="57" t="s">
        <v>80</v>
      </c>
      <c r="P32" s="57" t="s">
        <v>80</v>
      </c>
      <c r="Q32" s="57" t="s">
        <v>80</v>
      </c>
      <c r="R32" s="57" t="s">
        <v>81</v>
      </c>
      <c r="S32" s="57" t="s">
        <v>81</v>
      </c>
      <c r="T32" s="57" t="s">
        <v>80</v>
      </c>
      <c r="U32" s="57" t="s">
        <v>80</v>
      </c>
      <c r="V32" s="57" t="s">
        <v>80</v>
      </c>
      <c r="W32" s="57" t="s">
        <v>81</v>
      </c>
      <c r="X32" s="57" t="s">
        <v>81</v>
      </c>
      <c r="Y32" s="57" t="s">
        <v>80</v>
      </c>
      <c r="Z32" s="57" t="s">
        <v>80</v>
      </c>
      <c r="AA32" s="57" t="s">
        <v>80</v>
      </c>
      <c r="AB32" s="57" t="s">
        <v>81</v>
      </c>
      <c r="AC32" s="57" t="s">
        <v>81</v>
      </c>
      <c r="AD32" s="57" t="s">
        <v>80</v>
      </c>
      <c r="AE32" s="57" t="s">
        <v>80</v>
      </c>
      <c r="AF32" s="57" t="s">
        <v>80</v>
      </c>
      <c r="AG32" s="57" t="s">
        <v>81</v>
      </c>
      <c r="AH32" s="57" t="s">
        <v>81</v>
      </c>
      <c r="AI32" s="57" t="s">
        <v>80</v>
      </c>
      <c r="AJ32" s="57" t="s">
        <v>80</v>
      </c>
      <c r="AK32" s="57" t="s">
        <v>80</v>
      </c>
      <c r="AL32" s="57" t="s">
        <v>81</v>
      </c>
      <c r="AM32" s="57" t="s">
        <v>81</v>
      </c>
      <c r="AN32" s="57" t="s">
        <v>80</v>
      </c>
      <c r="AO32" s="57" t="s">
        <v>80</v>
      </c>
      <c r="AP32" s="57" t="s">
        <v>80</v>
      </c>
      <c r="AQ32" s="57" t="s">
        <v>81</v>
      </c>
      <c r="AR32" s="57" t="s">
        <v>81</v>
      </c>
      <c r="AS32" s="58" t="s">
        <v>80</v>
      </c>
    </row>
    <row r="33" spans="1:45">
      <c r="A33" s="59" t="s">
        <v>1380</v>
      </c>
      <c r="B33" s="59" t="s">
        <v>419</v>
      </c>
      <c r="C33" s="59" t="s">
        <v>420</v>
      </c>
      <c r="D33" s="59" t="s">
        <v>75</v>
      </c>
      <c r="E33" s="59" t="s">
        <v>114</v>
      </c>
      <c r="F33" s="59" t="s">
        <v>76</v>
      </c>
      <c r="G33" s="59" t="s">
        <v>82</v>
      </c>
      <c r="H33" s="59" t="s">
        <v>75</v>
      </c>
      <c r="I33" s="59" t="s">
        <v>75</v>
      </c>
      <c r="J33" s="59" t="s">
        <v>82</v>
      </c>
      <c r="K33" s="59" t="s">
        <v>75</v>
      </c>
      <c r="L33" s="59" t="s">
        <v>75</v>
      </c>
      <c r="M33" s="59" t="s">
        <v>80</v>
      </c>
      <c r="N33" s="59" t="s">
        <v>80</v>
      </c>
      <c r="O33" s="59" t="s">
        <v>80</v>
      </c>
      <c r="P33" s="59" t="s">
        <v>80</v>
      </c>
      <c r="Q33" s="59" t="s">
        <v>80</v>
      </c>
      <c r="R33" s="59" t="s">
        <v>81</v>
      </c>
      <c r="S33" s="59" t="s">
        <v>81</v>
      </c>
      <c r="T33" s="59" t="s">
        <v>80</v>
      </c>
      <c r="U33" s="59" t="s">
        <v>80</v>
      </c>
      <c r="V33" s="59" t="s">
        <v>80</v>
      </c>
      <c r="W33" s="59" t="s">
        <v>81</v>
      </c>
      <c r="X33" s="59" t="s">
        <v>81</v>
      </c>
      <c r="Y33" s="59" t="s">
        <v>80</v>
      </c>
      <c r="Z33" s="59" t="s">
        <v>80</v>
      </c>
      <c r="AA33" s="59" t="s">
        <v>80</v>
      </c>
      <c r="AB33" s="59" t="s">
        <v>81</v>
      </c>
      <c r="AC33" s="59" t="s">
        <v>81</v>
      </c>
      <c r="AD33" s="59" t="s">
        <v>80</v>
      </c>
      <c r="AE33" s="59" t="s">
        <v>80</v>
      </c>
      <c r="AF33" s="59" t="s">
        <v>80</v>
      </c>
      <c r="AG33" s="59" t="s">
        <v>81</v>
      </c>
      <c r="AH33" s="59" t="s">
        <v>81</v>
      </c>
      <c r="AI33" s="59" t="s">
        <v>80</v>
      </c>
      <c r="AJ33" s="59" t="s">
        <v>80</v>
      </c>
      <c r="AK33" s="59" t="s">
        <v>80</v>
      </c>
      <c r="AL33" s="59" t="s">
        <v>81</v>
      </c>
      <c r="AM33" s="59" t="s">
        <v>81</v>
      </c>
      <c r="AN33" s="59" t="s">
        <v>80</v>
      </c>
      <c r="AO33" s="59" t="s">
        <v>80</v>
      </c>
      <c r="AP33" s="59" t="s">
        <v>80</v>
      </c>
      <c r="AQ33" s="59" t="s">
        <v>81</v>
      </c>
      <c r="AR33" s="59" t="s">
        <v>81</v>
      </c>
      <c r="AS33" s="60" t="s">
        <v>80</v>
      </c>
    </row>
    <row r="34" spans="1:45">
      <c r="A34" s="57" t="s">
        <v>1380</v>
      </c>
      <c r="B34" s="57" t="s">
        <v>40</v>
      </c>
      <c r="C34" s="57" t="s">
        <v>39</v>
      </c>
      <c r="D34" s="57" t="s">
        <v>103</v>
      </c>
      <c r="E34" s="57" t="s">
        <v>165</v>
      </c>
      <c r="F34" s="57" t="s">
        <v>76</v>
      </c>
      <c r="G34" s="57" t="s">
        <v>1400</v>
      </c>
      <c r="H34" s="57" t="s">
        <v>1401</v>
      </c>
      <c r="I34" s="57" t="s">
        <v>75</v>
      </c>
      <c r="J34" s="57" t="s">
        <v>190</v>
      </c>
      <c r="K34" s="57" t="s">
        <v>1402</v>
      </c>
      <c r="L34" s="57" t="s">
        <v>75</v>
      </c>
      <c r="M34" s="57" t="s">
        <v>90</v>
      </c>
      <c r="N34" s="57" t="s">
        <v>99</v>
      </c>
      <c r="O34" s="57" t="s">
        <v>103</v>
      </c>
      <c r="P34" s="57" t="s">
        <v>80</v>
      </c>
      <c r="Q34" s="57" t="s">
        <v>80</v>
      </c>
      <c r="R34" s="57" t="s">
        <v>81</v>
      </c>
      <c r="S34" s="57" t="s">
        <v>81</v>
      </c>
      <c r="T34" s="57" t="s">
        <v>80</v>
      </c>
      <c r="U34" s="57" t="s">
        <v>80</v>
      </c>
      <c r="V34" s="57" t="s">
        <v>80</v>
      </c>
      <c r="W34" s="57" t="s">
        <v>81</v>
      </c>
      <c r="X34" s="57" t="s">
        <v>81</v>
      </c>
      <c r="Y34" s="57" t="s">
        <v>80</v>
      </c>
      <c r="Z34" s="57" t="s">
        <v>80</v>
      </c>
      <c r="AA34" s="57" t="s">
        <v>80</v>
      </c>
      <c r="AB34" s="57" t="s">
        <v>81</v>
      </c>
      <c r="AC34" s="57" t="s">
        <v>81</v>
      </c>
      <c r="AD34" s="57" t="s">
        <v>80</v>
      </c>
      <c r="AE34" s="57" t="s">
        <v>80</v>
      </c>
      <c r="AF34" s="57" t="s">
        <v>80</v>
      </c>
      <c r="AG34" s="57" t="s">
        <v>81</v>
      </c>
      <c r="AH34" s="57" t="s">
        <v>81</v>
      </c>
      <c r="AI34" s="57" t="s">
        <v>80</v>
      </c>
      <c r="AJ34" s="57" t="s">
        <v>80</v>
      </c>
      <c r="AK34" s="57" t="s">
        <v>80</v>
      </c>
      <c r="AL34" s="57" t="s">
        <v>81</v>
      </c>
      <c r="AM34" s="57" t="s">
        <v>81</v>
      </c>
      <c r="AN34" s="57" t="s">
        <v>80</v>
      </c>
      <c r="AO34" s="57" t="s">
        <v>80</v>
      </c>
      <c r="AP34" s="57" t="s">
        <v>80</v>
      </c>
      <c r="AQ34" s="57" t="s">
        <v>81</v>
      </c>
      <c r="AR34" s="57" t="s">
        <v>81</v>
      </c>
      <c r="AS34" s="58" t="s">
        <v>80</v>
      </c>
    </row>
    <row r="35" spans="1:45">
      <c r="A35" s="59" t="s">
        <v>1380</v>
      </c>
      <c r="B35" s="59" t="s">
        <v>42</v>
      </c>
      <c r="C35" s="59" t="s">
        <v>41</v>
      </c>
      <c r="D35" s="59" t="s">
        <v>103</v>
      </c>
      <c r="E35" s="59" t="s">
        <v>143</v>
      </c>
      <c r="F35" s="59" t="s">
        <v>76</v>
      </c>
      <c r="G35" s="59" t="s">
        <v>1403</v>
      </c>
      <c r="H35" s="59" t="s">
        <v>1404</v>
      </c>
      <c r="I35" s="59" t="s">
        <v>126</v>
      </c>
      <c r="J35" s="59" t="s">
        <v>1403</v>
      </c>
      <c r="K35" s="59" t="s">
        <v>1404</v>
      </c>
      <c r="L35" s="59" t="s">
        <v>126</v>
      </c>
      <c r="M35" s="59" t="s">
        <v>80</v>
      </c>
      <c r="N35" s="59" t="s">
        <v>80</v>
      </c>
      <c r="O35" s="59" t="s">
        <v>80</v>
      </c>
      <c r="P35" s="59" t="s">
        <v>520</v>
      </c>
      <c r="Q35" s="59" t="s">
        <v>82</v>
      </c>
      <c r="R35" s="59" t="s">
        <v>1405</v>
      </c>
      <c r="S35" s="59" t="s">
        <v>1406</v>
      </c>
      <c r="T35" s="59" t="s">
        <v>1404</v>
      </c>
      <c r="U35" s="59" t="s">
        <v>520</v>
      </c>
      <c r="V35" s="59" t="s">
        <v>82</v>
      </c>
      <c r="W35" s="59" t="s">
        <v>1405</v>
      </c>
      <c r="X35" s="59" t="s">
        <v>1406</v>
      </c>
      <c r="Y35" s="59" t="s">
        <v>1404</v>
      </c>
      <c r="Z35" s="59" t="s">
        <v>520</v>
      </c>
      <c r="AA35" s="59" t="s">
        <v>82</v>
      </c>
      <c r="AB35" s="59" t="s">
        <v>1405</v>
      </c>
      <c r="AC35" s="59" t="s">
        <v>1406</v>
      </c>
      <c r="AD35" s="59" t="s">
        <v>1404</v>
      </c>
      <c r="AE35" s="59" t="s">
        <v>520</v>
      </c>
      <c r="AF35" s="59" t="s">
        <v>82</v>
      </c>
      <c r="AG35" s="59" t="s">
        <v>1405</v>
      </c>
      <c r="AH35" s="59" t="s">
        <v>1406</v>
      </c>
      <c r="AI35" s="59" t="s">
        <v>1404</v>
      </c>
      <c r="AJ35" s="59" t="s">
        <v>80</v>
      </c>
      <c r="AK35" s="59" t="s">
        <v>80</v>
      </c>
      <c r="AL35" s="59" t="s">
        <v>81</v>
      </c>
      <c r="AM35" s="59" t="s">
        <v>81</v>
      </c>
      <c r="AN35" s="59" t="s">
        <v>80</v>
      </c>
      <c r="AO35" s="59" t="s">
        <v>80</v>
      </c>
      <c r="AP35" s="59" t="s">
        <v>80</v>
      </c>
      <c r="AQ35" s="59" t="s">
        <v>81</v>
      </c>
      <c r="AR35" s="59" t="s">
        <v>81</v>
      </c>
      <c r="AS35" s="60" t="s">
        <v>80</v>
      </c>
    </row>
    <row r="36" spans="1:45">
      <c r="A36" s="57" t="s">
        <v>1380</v>
      </c>
      <c r="B36" s="57" t="s">
        <v>129</v>
      </c>
      <c r="C36" s="57" t="s">
        <v>130</v>
      </c>
      <c r="D36" s="57" t="s">
        <v>75</v>
      </c>
      <c r="E36" s="57" t="s">
        <v>452</v>
      </c>
      <c r="F36" s="57" t="s">
        <v>76</v>
      </c>
      <c r="G36" s="57" t="s">
        <v>94</v>
      </c>
      <c r="H36" s="57" t="s">
        <v>430</v>
      </c>
      <c r="I36" s="57" t="s">
        <v>79</v>
      </c>
      <c r="J36" s="57" t="s">
        <v>94</v>
      </c>
      <c r="K36" s="57" t="s">
        <v>430</v>
      </c>
      <c r="L36" s="57" t="s">
        <v>79</v>
      </c>
      <c r="M36" s="57" t="s">
        <v>80</v>
      </c>
      <c r="N36" s="57" t="s">
        <v>80</v>
      </c>
      <c r="O36" s="57" t="s">
        <v>80</v>
      </c>
      <c r="P36" s="57" t="s">
        <v>80</v>
      </c>
      <c r="Q36" s="57" t="s">
        <v>80</v>
      </c>
      <c r="R36" s="57" t="s">
        <v>81</v>
      </c>
      <c r="S36" s="57" t="s">
        <v>81</v>
      </c>
      <c r="T36" s="57" t="s">
        <v>80</v>
      </c>
      <c r="U36" s="57" t="s">
        <v>80</v>
      </c>
      <c r="V36" s="57" t="s">
        <v>80</v>
      </c>
      <c r="W36" s="57" t="s">
        <v>81</v>
      </c>
      <c r="X36" s="57" t="s">
        <v>81</v>
      </c>
      <c r="Y36" s="57" t="s">
        <v>80</v>
      </c>
      <c r="Z36" s="57" t="s">
        <v>80</v>
      </c>
      <c r="AA36" s="57" t="s">
        <v>80</v>
      </c>
      <c r="AB36" s="57" t="s">
        <v>81</v>
      </c>
      <c r="AC36" s="57" t="s">
        <v>81</v>
      </c>
      <c r="AD36" s="57" t="s">
        <v>80</v>
      </c>
      <c r="AE36" s="57" t="s">
        <v>80</v>
      </c>
      <c r="AF36" s="57" t="s">
        <v>80</v>
      </c>
      <c r="AG36" s="57" t="s">
        <v>81</v>
      </c>
      <c r="AH36" s="57" t="s">
        <v>81</v>
      </c>
      <c r="AI36" s="57" t="s">
        <v>80</v>
      </c>
      <c r="AJ36" s="57" t="s">
        <v>80</v>
      </c>
      <c r="AK36" s="57" t="s">
        <v>80</v>
      </c>
      <c r="AL36" s="57" t="s">
        <v>81</v>
      </c>
      <c r="AM36" s="57" t="s">
        <v>81</v>
      </c>
      <c r="AN36" s="57" t="s">
        <v>80</v>
      </c>
      <c r="AO36" s="57" t="s">
        <v>80</v>
      </c>
      <c r="AP36" s="57" t="s">
        <v>80</v>
      </c>
      <c r="AQ36" s="57" t="s">
        <v>81</v>
      </c>
      <c r="AR36" s="57" t="s">
        <v>81</v>
      </c>
      <c r="AS36" s="58" t="s">
        <v>80</v>
      </c>
    </row>
    <row r="37" spans="1:45">
      <c r="A37" s="59" t="s">
        <v>1380</v>
      </c>
      <c r="B37" s="59" t="s">
        <v>424</v>
      </c>
      <c r="C37" s="59" t="s">
        <v>425</v>
      </c>
      <c r="D37" s="59" t="s">
        <v>75</v>
      </c>
      <c r="E37" s="59" t="s">
        <v>81</v>
      </c>
      <c r="F37" s="59" t="s">
        <v>76</v>
      </c>
      <c r="G37" s="59" t="s">
        <v>82</v>
      </c>
      <c r="H37" s="59" t="s">
        <v>79</v>
      </c>
      <c r="I37" s="59" t="s">
        <v>79</v>
      </c>
      <c r="J37" s="59" t="s">
        <v>82</v>
      </c>
      <c r="K37" s="59" t="s">
        <v>79</v>
      </c>
      <c r="L37" s="59" t="s">
        <v>79</v>
      </c>
      <c r="M37" s="59" t="s">
        <v>80</v>
      </c>
      <c r="N37" s="59" t="s">
        <v>80</v>
      </c>
      <c r="O37" s="59" t="s">
        <v>80</v>
      </c>
      <c r="P37" s="59" t="s">
        <v>80</v>
      </c>
      <c r="Q37" s="59" t="s">
        <v>80</v>
      </c>
      <c r="R37" s="59" t="s">
        <v>81</v>
      </c>
      <c r="S37" s="59" t="s">
        <v>81</v>
      </c>
      <c r="T37" s="59" t="s">
        <v>80</v>
      </c>
      <c r="U37" s="59" t="s">
        <v>80</v>
      </c>
      <c r="V37" s="59" t="s">
        <v>80</v>
      </c>
      <c r="W37" s="59" t="s">
        <v>81</v>
      </c>
      <c r="X37" s="59" t="s">
        <v>81</v>
      </c>
      <c r="Y37" s="59" t="s">
        <v>80</v>
      </c>
      <c r="Z37" s="59" t="s">
        <v>80</v>
      </c>
      <c r="AA37" s="59" t="s">
        <v>80</v>
      </c>
      <c r="AB37" s="59" t="s">
        <v>81</v>
      </c>
      <c r="AC37" s="59" t="s">
        <v>81</v>
      </c>
      <c r="AD37" s="59" t="s">
        <v>80</v>
      </c>
      <c r="AE37" s="59" t="s">
        <v>80</v>
      </c>
      <c r="AF37" s="59" t="s">
        <v>80</v>
      </c>
      <c r="AG37" s="59" t="s">
        <v>81</v>
      </c>
      <c r="AH37" s="59" t="s">
        <v>81</v>
      </c>
      <c r="AI37" s="59" t="s">
        <v>80</v>
      </c>
      <c r="AJ37" s="59" t="s">
        <v>80</v>
      </c>
      <c r="AK37" s="59" t="s">
        <v>80</v>
      </c>
      <c r="AL37" s="59" t="s">
        <v>81</v>
      </c>
      <c r="AM37" s="59" t="s">
        <v>81</v>
      </c>
      <c r="AN37" s="59" t="s">
        <v>80</v>
      </c>
      <c r="AO37" s="59" t="s">
        <v>80</v>
      </c>
      <c r="AP37" s="59" t="s">
        <v>80</v>
      </c>
      <c r="AQ37" s="59" t="s">
        <v>81</v>
      </c>
      <c r="AR37" s="59" t="s">
        <v>81</v>
      </c>
      <c r="AS37" s="60" t="s">
        <v>80</v>
      </c>
    </row>
    <row r="38" spans="1:45">
      <c r="A38" s="57" t="s">
        <v>1380</v>
      </c>
      <c r="B38" s="57" t="s">
        <v>131</v>
      </c>
      <c r="C38" s="57" t="s">
        <v>132</v>
      </c>
      <c r="D38" s="57" t="s">
        <v>75</v>
      </c>
      <c r="E38" s="57" t="s">
        <v>104</v>
      </c>
      <c r="F38" s="57" t="s">
        <v>76</v>
      </c>
      <c r="G38" s="57" t="s">
        <v>1407</v>
      </c>
      <c r="H38" s="57" t="s">
        <v>1408</v>
      </c>
      <c r="I38" s="57" t="s">
        <v>77</v>
      </c>
      <c r="J38" s="57" t="s">
        <v>1409</v>
      </c>
      <c r="K38" s="57" t="s">
        <v>1410</v>
      </c>
      <c r="L38" s="57" t="s">
        <v>77</v>
      </c>
      <c r="M38" s="57" t="s">
        <v>82</v>
      </c>
      <c r="N38" s="57" t="s">
        <v>79</v>
      </c>
      <c r="O38" s="57" t="s">
        <v>79</v>
      </c>
      <c r="P38" s="57" t="s">
        <v>80</v>
      </c>
      <c r="Q38" s="57" t="s">
        <v>80</v>
      </c>
      <c r="R38" s="57" t="s">
        <v>81</v>
      </c>
      <c r="S38" s="57" t="s">
        <v>81</v>
      </c>
      <c r="T38" s="57" t="s">
        <v>80</v>
      </c>
      <c r="U38" s="57" t="s">
        <v>80</v>
      </c>
      <c r="V38" s="57" t="s">
        <v>80</v>
      </c>
      <c r="W38" s="57" t="s">
        <v>81</v>
      </c>
      <c r="X38" s="57" t="s">
        <v>81</v>
      </c>
      <c r="Y38" s="57" t="s">
        <v>80</v>
      </c>
      <c r="Z38" s="57" t="s">
        <v>80</v>
      </c>
      <c r="AA38" s="57" t="s">
        <v>80</v>
      </c>
      <c r="AB38" s="57" t="s">
        <v>81</v>
      </c>
      <c r="AC38" s="57" t="s">
        <v>81</v>
      </c>
      <c r="AD38" s="57" t="s">
        <v>80</v>
      </c>
      <c r="AE38" s="57" t="s">
        <v>80</v>
      </c>
      <c r="AF38" s="57" t="s">
        <v>80</v>
      </c>
      <c r="AG38" s="57" t="s">
        <v>81</v>
      </c>
      <c r="AH38" s="57" t="s">
        <v>81</v>
      </c>
      <c r="AI38" s="57" t="s">
        <v>80</v>
      </c>
      <c r="AJ38" s="57" t="s">
        <v>80</v>
      </c>
      <c r="AK38" s="57" t="s">
        <v>80</v>
      </c>
      <c r="AL38" s="57" t="s">
        <v>81</v>
      </c>
      <c r="AM38" s="57" t="s">
        <v>81</v>
      </c>
      <c r="AN38" s="57" t="s">
        <v>80</v>
      </c>
      <c r="AO38" s="57" t="s">
        <v>80</v>
      </c>
      <c r="AP38" s="57" t="s">
        <v>80</v>
      </c>
      <c r="AQ38" s="57" t="s">
        <v>81</v>
      </c>
      <c r="AR38" s="57" t="s">
        <v>81</v>
      </c>
      <c r="AS38" s="58" t="s">
        <v>80</v>
      </c>
    </row>
    <row r="39" spans="1:45">
      <c r="A39" s="59" t="s">
        <v>1380</v>
      </c>
      <c r="B39" s="59" t="s">
        <v>427</v>
      </c>
      <c r="C39" s="59" t="s">
        <v>428</v>
      </c>
      <c r="D39" s="59" t="s">
        <v>75</v>
      </c>
      <c r="E39" s="59" t="s">
        <v>429</v>
      </c>
      <c r="F39" s="59" t="s">
        <v>76</v>
      </c>
      <c r="G39" s="59" t="s">
        <v>86</v>
      </c>
      <c r="H39" s="59" t="s">
        <v>195</v>
      </c>
      <c r="I39" s="59" t="s">
        <v>79</v>
      </c>
      <c r="J39" s="59" t="s">
        <v>86</v>
      </c>
      <c r="K39" s="59" t="s">
        <v>195</v>
      </c>
      <c r="L39" s="59" t="s">
        <v>79</v>
      </c>
      <c r="M39" s="59" t="s">
        <v>80</v>
      </c>
      <c r="N39" s="59" t="s">
        <v>80</v>
      </c>
      <c r="O39" s="59" t="s">
        <v>80</v>
      </c>
      <c r="P39" s="59" t="s">
        <v>80</v>
      </c>
      <c r="Q39" s="59" t="s">
        <v>80</v>
      </c>
      <c r="R39" s="59" t="s">
        <v>81</v>
      </c>
      <c r="S39" s="59" t="s">
        <v>81</v>
      </c>
      <c r="T39" s="59" t="s">
        <v>80</v>
      </c>
      <c r="U39" s="59" t="s">
        <v>80</v>
      </c>
      <c r="V39" s="59" t="s">
        <v>80</v>
      </c>
      <c r="W39" s="59" t="s">
        <v>81</v>
      </c>
      <c r="X39" s="59" t="s">
        <v>81</v>
      </c>
      <c r="Y39" s="59" t="s">
        <v>80</v>
      </c>
      <c r="Z39" s="59" t="s">
        <v>80</v>
      </c>
      <c r="AA39" s="59" t="s">
        <v>80</v>
      </c>
      <c r="AB39" s="59" t="s">
        <v>81</v>
      </c>
      <c r="AC39" s="59" t="s">
        <v>81</v>
      </c>
      <c r="AD39" s="59" t="s">
        <v>80</v>
      </c>
      <c r="AE39" s="59" t="s">
        <v>80</v>
      </c>
      <c r="AF39" s="59" t="s">
        <v>80</v>
      </c>
      <c r="AG39" s="59" t="s">
        <v>81</v>
      </c>
      <c r="AH39" s="59" t="s">
        <v>81</v>
      </c>
      <c r="AI39" s="59" t="s">
        <v>80</v>
      </c>
      <c r="AJ39" s="59" t="s">
        <v>80</v>
      </c>
      <c r="AK39" s="59" t="s">
        <v>80</v>
      </c>
      <c r="AL39" s="59" t="s">
        <v>81</v>
      </c>
      <c r="AM39" s="59" t="s">
        <v>81</v>
      </c>
      <c r="AN39" s="59" t="s">
        <v>80</v>
      </c>
      <c r="AO39" s="59" t="s">
        <v>80</v>
      </c>
      <c r="AP39" s="59" t="s">
        <v>80</v>
      </c>
      <c r="AQ39" s="59" t="s">
        <v>81</v>
      </c>
      <c r="AR39" s="59" t="s">
        <v>81</v>
      </c>
      <c r="AS39" s="60" t="s">
        <v>80</v>
      </c>
    </row>
    <row r="40" spans="1:45">
      <c r="A40" s="57" t="s">
        <v>1380</v>
      </c>
      <c r="B40" s="57" t="s">
        <v>133</v>
      </c>
      <c r="C40" s="57" t="s">
        <v>134</v>
      </c>
      <c r="D40" s="57" t="s">
        <v>75</v>
      </c>
      <c r="E40" s="57" t="s">
        <v>1411</v>
      </c>
      <c r="F40" s="57" t="s">
        <v>76</v>
      </c>
      <c r="G40" s="57" t="s">
        <v>203</v>
      </c>
      <c r="H40" s="57" t="s">
        <v>204</v>
      </c>
      <c r="I40" s="57" t="s">
        <v>79</v>
      </c>
      <c r="J40" s="57" t="s">
        <v>203</v>
      </c>
      <c r="K40" s="57" t="s">
        <v>204</v>
      </c>
      <c r="L40" s="57" t="s">
        <v>79</v>
      </c>
      <c r="M40" s="57" t="s">
        <v>80</v>
      </c>
      <c r="N40" s="57" t="s">
        <v>80</v>
      </c>
      <c r="O40" s="57" t="s">
        <v>80</v>
      </c>
      <c r="P40" s="57" t="s">
        <v>80</v>
      </c>
      <c r="Q40" s="57" t="s">
        <v>80</v>
      </c>
      <c r="R40" s="57" t="s">
        <v>81</v>
      </c>
      <c r="S40" s="57" t="s">
        <v>81</v>
      </c>
      <c r="T40" s="57" t="s">
        <v>80</v>
      </c>
      <c r="U40" s="57" t="s">
        <v>80</v>
      </c>
      <c r="V40" s="57" t="s">
        <v>80</v>
      </c>
      <c r="W40" s="57" t="s">
        <v>81</v>
      </c>
      <c r="X40" s="57" t="s">
        <v>81</v>
      </c>
      <c r="Y40" s="57" t="s">
        <v>80</v>
      </c>
      <c r="Z40" s="57" t="s">
        <v>80</v>
      </c>
      <c r="AA40" s="57" t="s">
        <v>80</v>
      </c>
      <c r="AB40" s="57" t="s">
        <v>81</v>
      </c>
      <c r="AC40" s="57" t="s">
        <v>81</v>
      </c>
      <c r="AD40" s="57" t="s">
        <v>80</v>
      </c>
      <c r="AE40" s="57" t="s">
        <v>80</v>
      </c>
      <c r="AF40" s="57" t="s">
        <v>80</v>
      </c>
      <c r="AG40" s="57" t="s">
        <v>81</v>
      </c>
      <c r="AH40" s="57" t="s">
        <v>81</v>
      </c>
      <c r="AI40" s="57" t="s">
        <v>80</v>
      </c>
      <c r="AJ40" s="57" t="s">
        <v>80</v>
      </c>
      <c r="AK40" s="57" t="s">
        <v>80</v>
      </c>
      <c r="AL40" s="57" t="s">
        <v>81</v>
      </c>
      <c r="AM40" s="57" t="s">
        <v>81</v>
      </c>
      <c r="AN40" s="57" t="s">
        <v>80</v>
      </c>
      <c r="AO40" s="57" t="s">
        <v>80</v>
      </c>
      <c r="AP40" s="57" t="s">
        <v>80</v>
      </c>
      <c r="AQ40" s="57" t="s">
        <v>81</v>
      </c>
      <c r="AR40" s="57" t="s">
        <v>81</v>
      </c>
      <c r="AS40" s="58" t="s">
        <v>80</v>
      </c>
    </row>
    <row r="41" spans="1:45">
      <c r="A41" s="59" t="s">
        <v>1380</v>
      </c>
      <c r="B41" s="59" t="s">
        <v>135</v>
      </c>
      <c r="C41" s="59" t="s">
        <v>136</v>
      </c>
      <c r="D41" s="59" t="s">
        <v>75</v>
      </c>
      <c r="E41" s="59" t="s">
        <v>303</v>
      </c>
      <c r="F41" s="59" t="s">
        <v>76</v>
      </c>
      <c r="G41" s="59" t="s">
        <v>93</v>
      </c>
      <c r="H41" s="59" t="s">
        <v>91</v>
      </c>
      <c r="I41" s="59" t="s">
        <v>94</v>
      </c>
      <c r="J41" s="59" t="s">
        <v>93</v>
      </c>
      <c r="K41" s="59" t="s">
        <v>91</v>
      </c>
      <c r="L41" s="59" t="s">
        <v>94</v>
      </c>
      <c r="M41" s="59" t="s">
        <v>80</v>
      </c>
      <c r="N41" s="59" t="s">
        <v>80</v>
      </c>
      <c r="O41" s="59" t="s">
        <v>80</v>
      </c>
      <c r="P41" s="59" t="s">
        <v>80</v>
      </c>
      <c r="Q41" s="59" t="s">
        <v>80</v>
      </c>
      <c r="R41" s="59" t="s">
        <v>81</v>
      </c>
      <c r="S41" s="59" t="s">
        <v>81</v>
      </c>
      <c r="T41" s="59" t="s">
        <v>80</v>
      </c>
      <c r="U41" s="59" t="s">
        <v>80</v>
      </c>
      <c r="V41" s="59" t="s">
        <v>80</v>
      </c>
      <c r="W41" s="59" t="s">
        <v>81</v>
      </c>
      <c r="X41" s="59" t="s">
        <v>81</v>
      </c>
      <c r="Y41" s="59" t="s">
        <v>80</v>
      </c>
      <c r="Z41" s="59" t="s">
        <v>80</v>
      </c>
      <c r="AA41" s="59" t="s">
        <v>80</v>
      </c>
      <c r="AB41" s="59" t="s">
        <v>81</v>
      </c>
      <c r="AC41" s="59" t="s">
        <v>81</v>
      </c>
      <c r="AD41" s="59" t="s">
        <v>80</v>
      </c>
      <c r="AE41" s="59" t="s">
        <v>80</v>
      </c>
      <c r="AF41" s="59" t="s">
        <v>80</v>
      </c>
      <c r="AG41" s="59" t="s">
        <v>81</v>
      </c>
      <c r="AH41" s="59" t="s">
        <v>81</v>
      </c>
      <c r="AI41" s="59" t="s">
        <v>80</v>
      </c>
      <c r="AJ41" s="59" t="s">
        <v>80</v>
      </c>
      <c r="AK41" s="59" t="s">
        <v>80</v>
      </c>
      <c r="AL41" s="59" t="s">
        <v>81</v>
      </c>
      <c r="AM41" s="59" t="s">
        <v>81</v>
      </c>
      <c r="AN41" s="59" t="s">
        <v>80</v>
      </c>
      <c r="AO41" s="59" t="s">
        <v>80</v>
      </c>
      <c r="AP41" s="59" t="s">
        <v>80</v>
      </c>
      <c r="AQ41" s="59" t="s">
        <v>81</v>
      </c>
      <c r="AR41" s="59" t="s">
        <v>81</v>
      </c>
      <c r="AS41" s="60" t="s">
        <v>80</v>
      </c>
    </row>
    <row r="42" spans="1:45">
      <c r="A42" s="57" t="s">
        <v>1380</v>
      </c>
      <c r="B42" s="57" t="s">
        <v>138</v>
      </c>
      <c r="C42" s="57" t="s">
        <v>139</v>
      </c>
      <c r="D42" s="57" t="s">
        <v>75</v>
      </c>
      <c r="E42" s="57" t="s">
        <v>495</v>
      </c>
      <c r="F42" s="57" t="s">
        <v>76</v>
      </c>
      <c r="G42" s="57" t="s">
        <v>86</v>
      </c>
      <c r="H42" s="57" t="s">
        <v>190</v>
      </c>
      <c r="I42" s="57" t="s">
        <v>85</v>
      </c>
      <c r="J42" s="57" t="s">
        <v>86</v>
      </c>
      <c r="K42" s="57" t="s">
        <v>190</v>
      </c>
      <c r="L42" s="57" t="s">
        <v>85</v>
      </c>
      <c r="M42" s="57" t="s">
        <v>80</v>
      </c>
      <c r="N42" s="57" t="s">
        <v>80</v>
      </c>
      <c r="O42" s="57" t="s">
        <v>80</v>
      </c>
      <c r="P42" s="57" t="s">
        <v>80</v>
      </c>
      <c r="Q42" s="57" t="s">
        <v>80</v>
      </c>
      <c r="R42" s="57" t="s">
        <v>81</v>
      </c>
      <c r="S42" s="57" t="s">
        <v>81</v>
      </c>
      <c r="T42" s="57" t="s">
        <v>80</v>
      </c>
      <c r="U42" s="57" t="s">
        <v>80</v>
      </c>
      <c r="V42" s="57" t="s">
        <v>80</v>
      </c>
      <c r="W42" s="57" t="s">
        <v>81</v>
      </c>
      <c r="X42" s="57" t="s">
        <v>81</v>
      </c>
      <c r="Y42" s="57" t="s">
        <v>80</v>
      </c>
      <c r="Z42" s="57" t="s">
        <v>80</v>
      </c>
      <c r="AA42" s="57" t="s">
        <v>80</v>
      </c>
      <c r="AB42" s="57" t="s">
        <v>81</v>
      </c>
      <c r="AC42" s="57" t="s">
        <v>81</v>
      </c>
      <c r="AD42" s="57" t="s">
        <v>80</v>
      </c>
      <c r="AE42" s="57" t="s">
        <v>80</v>
      </c>
      <c r="AF42" s="57" t="s">
        <v>80</v>
      </c>
      <c r="AG42" s="57" t="s">
        <v>81</v>
      </c>
      <c r="AH42" s="57" t="s">
        <v>81</v>
      </c>
      <c r="AI42" s="57" t="s">
        <v>80</v>
      </c>
      <c r="AJ42" s="57" t="s">
        <v>80</v>
      </c>
      <c r="AK42" s="57" t="s">
        <v>80</v>
      </c>
      <c r="AL42" s="57" t="s">
        <v>81</v>
      </c>
      <c r="AM42" s="57" t="s">
        <v>81</v>
      </c>
      <c r="AN42" s="57" t="s">
        <v>80</v>
      </c>
      <c r="AO42" s="57" t="s">
        <v>80</v>
      </c>
      <c r="AP42" s="57" t="s">
        <v>80</v>
      </c>
      <c r="AQ42" s="57" t="s">
        <v>81</v>
      </c>
      <c r="AR42" s="57" t="s">
        <v>81</v>
      </c>
      <c r="AS42" s="58" t="s">
        <v>80</v>
      </c>
    </row>
    <row r="43" spans="1:45">
      <c r="A43" s="59" t="s">
        <v>1380</v>
      </c>
      <c r="B43" s="59" t="s">
        <v>141</v>
      </c>
      <c r="C43" s="59" t="s">
        <v>142</v>
      </c>
      <c r="D43" s="59" t="s">
        <v>75</v>
      </c>
      <c r="E43" s="59" t="s">
        <v>165</v>
      </c>
      <c r="F43" s="59" t="s">
        <v>76</v>
      </c>
      <c r="G43" s="59" t="s">
        <v>77</v>
      </c>
      <c r="H43" s="59" t="s">
        <v>204</v>
      </c>
      <c r="I43" s="59" t="s">
        <v>112</v>
      </c>
      <c r="J43" s="59" t="s">
        <v>77</v>
      </c>
      <c r="K43" s="59" t="s">
        <v>204</v>
      </c>
      <c r="L43" s="59" t="s">
        <v>112</v>
      </c>
      <c r="M43" s="59" t="s">
        <v>80</v>
      </c>
      <c r="N43" s="59" t="s">
        <v>80</v>
      </c>
      <c r="O43" s="59" t="s">
        <v>80</v>
      </c>
      <c r="P43" s="59" t="s">
        <v>80</v>
      </c>
      <c r="Q43" s="59" t="s">
        <v>80</v>
      </c>
      <c r="R43" s="59" t="s">
        <v>81</v>
      </c>
      <c r="S43" s="59" t="s">
        <v>81</v>
      </c>
      <c r="T43" s="59" t="s">
        <v>80</v>
      </c>
      <c r="U43" s="59" t="s">
        <v>80</v>
      </c>
      <c r="V43" s="59" t="s">
        <v>80</v>
      </c>
      <c r="W43" s="59" t="s">
        <v>81</v>
      </c>
      <c r="X43" s="59" t="s">
        <v>81</v>
      </c>
      <c r="Y43" s="59" t="s">
        <v>80</v>
      </c>
      <c r="Z43" s="59" t="s">
        <v>80</v>
      </c>
      <c r="AA43" s="59" t="s">
        <v>80</v>
      </c>
      <c r="AB43" s="59" t="s">
        <v>81</v>
      </c>
      <c r="AC43" s="59" t="s">
        <v>81</v>
      </c>
      <c r="AD43" s="59" t="s">
        <v>80</v>
      </c>
      <c r="AE43" s="59" t="s">
        <v>80</v>
      </c>
      <c r="AF43" s="59" t="s">
        <v>80</v>
      </c>
      <c r="AG43" s="59" t="s">
        <v>81</v>
      </c>
      <c r="AH43" s="59" t="s">
        <v>81</v>
      </c>
      <c r="AI43" s="59" t="s">
        <v>80</v>
      </c>
      <c r="AJ43" s="59" t="s">
        <v>80</v>
      </c>
      <c r="AK43" s="59" t="s">
        <v>80</v>
      </c>
      <c r="AL43" s="59" t="s">
        <v>81</v>
      </c>
      <c r="AM43" s="59" t="s">
        <v>81</v>
      </c>
      <c r="AN43" s="59" t="s">
        <v>80</v>
      </c>
      <c r="AO43" s="59" t="s">
        <v>80</v>
      </c>
      <c r="AP43" s="59" t="s">
        <v>80</v>
      </c>
      <c r="AQ43" s="59" t="s">
        <v>81</v>
      </c>
      <c r="AR43" s="59" t="s">
        <v>81</v>
      </c>
      <c r="AS43" s="60" t="s">
        <v>80</v>
      </c>
    </row>
    <row r="44" spans="1:45">
      <c r="A44" s="57" t="s">
        <v>1380</v>
      </c>
      <c r="B44" s="57" t="s">
        <v>144</v>
      </c>
      <c r="C44" s="57" t="s">
        <v>145</v>
      </c>
      <c r="D44" s="57" t="s">
        <v>75</v>
      </c>
      <c r="E44" s="57" t="s">
        <v>137</v>
      </c>
      <c r="F44" s="57" t="s">
        <v>76</v>
      </c>
      <c r="G44" s="57" t="s">
        <v>115</v>
      </c>
      <c r="H44" s="57" t="s">
        <v>195</v>
      </c>
      <c r="I44" s="57" t="s">
        <v>75</v>
      </c>
      <c r="J44" s="57" t="s">
        <v>90</v>
      </c>
      <c r="K44" s="57" t="s">
        <v>91</v>
      </c>
      <c r="L44" s="57" t="s">
        <v>75</v>
      </c>
      <c r="M44" s="57" t="s">
        <v>90</v>
      </c>
      <c r="N44" s="57" t="s">
        <v>91</v>
      </c>
      <c r="O44" s="57" t="s">
        <v>75</v>
      </c>
      <c r="P44" s="57" t="s">
        <v>80</v>
      </c>
      <c r="Q44" s="57" t="s">
        <v>80</v>
      </c>
      <c r="R44" s="57" t="s">
        <v>81</v>
      </c>
      <c r="S44" s="57" t="s">
        <v>81</v>
      </c>
      <c r="T44" s="57" t="s">
        <v>80</v>
      </c>
      <c r="U44" s="57" t="s">
        <v>80</v>
      </c>
      <c r="V44" s="57" t="s">
        <v>80</v>
      </c>
      <c r="W44" s="57" t="s">
        <v>81</v>
      </c>
      <c r="X44" s="57" t="s">
        <v>81</v>
      </c>
      <c r="Y44" s="57" t="s">
        <v>80</v>
      </c>
      <c r="Z44" s="57" t="s">
        <v>80</v>
      </c>
      <c r="AA44" s="57" t="s">
        <v>80</v>
      </c>
      <c r="AB44" s="57" t="s">
        <v>81</v>
      </c>
      <c r="AC44" s="57" t="s">
        <v>81</v>
      </c>
      <c r="AD44" s="57" t="s">
        <v>80</v>
      </c>
      <c r="AE44" s="57" t="s">
        <v>80</v>
      </c>
      <c r="AF44" s="57" t="s">
        <v>80</v>
      </c>
      <c r="AG44" s="57" t="s">
        <v>81</v>
      </c>
      <c r="AH44" s="57" t="s">
        <v>81</v>
      </c>
      <c r="AI44" s="57" t="s">
        <v>80</v>
      </c>
      <c r="AJ44" s="57" t="s">
        <v>80</v>
      </c>
      <c r="AK44" s="57" t="s">
        <v>80</v>
      </c>
      <c r="AL44" s="57" t="s">
        <v>81</v>
      </c>
      <c r="AM44" s="57" t="s">
        <v>81</v>
      </c>
      <c r="AN44" s="57" t="s">
        <v>80</v>
      </c>
      <c r="AO44" s="57" t="s">
        <v>80</v>
      </c>
      <c r="AP44" s="57" t="s">
        <v>80</v>
      </c>
      <c r="AQ44" s="57" t="s">
        <v>81</v>
      </c>
      <c r="AR44" s="57" t="s">
        <v>81</v>
      </c>
      <c r="AS44" s="58" t="s">
        <v>80</v>
      </c>
    </row>
    <row r="45" spans="1:45">
      <c r="A45" s="59" t="s">
        <v>1380</v>
      </c>
      <c r="B45" s="59" t="s">
        <v>146</v>
      </c>
      <c r="C45" s="59" t="s">
        <v>147</v>
      </c>
      <c r="D45" s="59" t="s">
        <v>75</v>
      </c>
      <c r="E45" s="59" t="s">
        <v>81</v>
      </c>
      <c r="F45" s="59" t="s">
        <v>76</v>
      </c>
      <c r="G45" s="59" t="s">
        <v>82</v>
      </c>
      <c r="H45" s="59" t="s">
        <v>79</v>
      </c>
      <c r="I45" s="59" t="s">
        <v>79</v>
      </c>
      <c r="J45" s="59" t="s">
        <v>82</v>
      </c>
      <c r="K45" s="59" t="s">
        <v>79</v>
      </c>
      <c r="L45" s="59" t="s">
        <v>79</v>
      </c>
      <c r="M45" s="59" t="s">
        <v>80</v>
      </c>
      <c r="N45" s="59" t="s">
        <v>80</v>
      </c>
      <c r="O45" s="59" t="s">
        <v>80</v>
      </c>
      <c r="P45" s="59" t="s">
        <v>80</v>
      </c>
      <c r="Q45" s="59" t="s">
        <v>80</v>
      </c>
      <c r="R45" s="59" t="s">
        <v>81</v>
      </c>
      <c r="S45" s="59" t="s">
        <v>81</v>
      </c>
      <c r="T45" s="59" t="s">
        <v>80</v>
      </c>
      <c r="U45" s="59" t="s">
        <v>80</v>
      </c>
      <c r="V45" s="59" t="s">
        <v>80</v>
      </c>
      <c r="W45" s="59" t="s">
        <v>81</v>
      </c>
      <c r="X45" s="59" t="s">
        <v>81</v>
      </c>
      <c r="Y45" s="59" t="s">
        <v>80</v>
      </c>
      <c r="Z45" s="59" t="s">
        <v>80</v>
      </c>
      <c r="AA45" s="59" t="s">
        <v>80</v>
      </c>
      <c r="AB45" s="59" t="s">
        <v>81</v>
      </c>
      <c r="AC45" s="59" t="s">
        <v>81</v>
      </c>
      <c r="AD45" s="59" t="s">
        <v>80</v>
      </c>
      <c r="AE45" s="59" t="s">
        <v>80</v>
      </c>
      <c r="AF45" s="59" t="s">
        <v>80</v>
      </c>
      <c r="AG45" s="59" t="s">
        <v>81</v>
      </c>
      <c r="AH45" s="59" t="s">
        <v>81</v>
      </c>
      <c r="AI45" s="59" t="s">
        <v>80</v>
      </c>
      <c r="AJ45" s="59" t="s">
        <v>80</v>
      </c>
      <c r="AK45" s="59" t="s">
        <v>80</v>
      </c>
      <c r="AL45" s="59" t="s">
        <v>81</v>
      </c>
      <c r="AM45" s="59" t="s">
        <v>81</v>
      </c>
      <c r="AN45" s="59" t="s">
        <v>80</v>
      </c>
      <c r="AO45" s="59" t="s">
        <v>80</v>
      </c>
      <c r="AP45" s="59" t="s">
        <v>80</v>
      </c>
      <c r="AQ45" s="59" t="s">
        <v>81</v>
      </c>
      <c r="AR45" s="59" t="s">
        <v>81</v>
      </c>
      <c r="AS45" s="60" t="s">
        <v>80</v>
      </c>
    </row>
    <row r="46" spans="1:45">
      <c r="A46" s="57" t="s">
        <v>1380</v>
      </c>
      <c r="B46" s="57" t="s">
        <v>1412</v>
      </c>
      <c r="C46" s="57" t="s">
        <v>1413</v>
      </c>
      <c r="D46" s="57" t="s">
        <v>75</v>
      </c>
      <c r="E46" s="57" t="s">
        <v>125</v>
      </c>
      <c r="F46" s="57" t="s">
        <v>76</v>
      </c>
      <c r="G46" s="57" t="s">
        <v>82</v>
      </c>
      <c r="H46" s="57" t="s">
        <v>75</v>
      </c>
      <c r="I46" s="57" t="s">
        <v>75</v>
      </c>
      <c r="J46" s="57" t="s">
        <v>82</v>
      </c>
      <c r="K46" s="57" t="s">
        <v>75</v>
      </c>
      <c r="L46" s="57" t="s">
        <v>75</v>
      </c>
      <c r="M46" s="57" t="s">
        <v>80</v>
      </c>
      <c r="N46" s="57" t="s">
        <v>80</v>
      </c>
      <c r="O46" s="57" t="s">
        <v>80</v>
      </c>
      <c r="P46" s="57" t="s">
        <v>80</v>
      </c>
      <c r="Q46" s="57" t="s">
        <v>80</v>
      </c>
      <c r="R46" s="57" t="s">
        <v>81</v>
      </c>
      <c r="S46" s="57" t="s">
        <v>81</v>
      </c>
      <c r="T46" s="57" t="s">
        <v>80</v>
      </c>
      <c r="U46" s="57" t="s">
        <v>80</v>
      </c>
      <c r="V46" s="57" t="s">
        <v>80</v>
      </c>
      <c r="W46" s="57" t="s">
        <v>81</v>
      </c>
      <c r="X46" s="57" t="s">
        <v>81</v>
      </c>
      <c r="Y46" s="57" t="s">
        <v>80</v>
      </c>
      <c r="Z46" s="57" t="s">
        <v>80</v>
      </c>
      <c r="AA46" s="57" t="s">
        <v>80</v>
      </c>
      <c r="AB46" s="57" t="s">
        <v>81</v>
      </c>
      <c r="AC46" s="57" t="s">
        <v>81</v>
      </c>
      <c r="AD46" s="57" t="s">
        <v>80</v>
      </c>
      <c r="AE46" s="57" t="s">
        <v>80</v>
      </c>
      <c r="AF46" s="57" t="s">
        <v>80</v>
      </c>
      <c r="AG46" s="57" t="s">
        <v>81</v>
      </c>
      <c r="AH46" s="57" t="s">
        <v>81</v>
      </c>
      <c r="AI46" s="57" t="s">
        <v>80</v>
      </c>
      <c r="AJ46" s="57" t="s">
        <v>80</v>
      </c>
      <c r="AK46" s="57" t="s">
        <v>80</v>
      </c>
      <c r="AL46" s="57" t="s">
        <v>81</v>
      </c>
      <c r="AM46" s="57" t="s">
        <v>81</v>
      </c>
      <c r="AN46" s="57" t="s">
        <v>80</v>
      </c>
      <c r="AO46" s="57" t="s">
        <v>80</v>
      </c>
      <c r="AP46" s="57" t="s">
        <v>80</v>
      </c>
      <c r="AQ46" s="57" t="s">
        <v>81</v>
      </c>
      <c r="AR46" s="57" t="s">
        <v>81</v>
      </c>
      <c r="AS46" s="58" t="s">
        <v>80</v>
      </c>
    </row>
    <row r="47" spans="1:45">
      <c r="A47" s="59" t="s">
        <v>1380</v>
      </c>
      <c r="B47" s="59" t="s">
        <v>148</v>
      </c>
      <c r="C47" s="59" t="s">
        <v>149</v>
      </c>
      <c r="D47" s="59" t="s">
        <v>75</v>
      </c>
      <c r="E47" s="59" t="s">
        <v>173</v>
      </c>
      <c r="F47" s="59" t="s">
        <v>76</v>
      </c>
      <c r="G47" s="59" t="s">
        <v>90</v>
      </c>
      <c r="H47" s="59" t="s">
        <v>75</v>
      </c>
      <c r="I47" s="59" t="s">
        <v>79</v>
      </c>
      <c r="J47" s="59" t="s">
        <v>82</v>
      </c>
      <c r="K47" s="59" t="s">
        <v>79</v>
      </c>
      <c r="L47" s="59" t="s">
        <v>79</v>
      </c>
      <c r="M47" s="59" t="s">
        <v>82</v>
      </c>
      <c r="N47" s="59" t="s">
        <v>79</v>
      </c>
      <c r="O47" s="59" t="s">
        <v>79</v>
      </c>
      <c r="P47" s="59" t="s">
        <v>80</v>
      </c>
      <c r="Q47" s="59" t="s">
        <v>80</v>
      </c>
      <c r="R47" s="59" t="s">
        <v>81</v>
      </c>
      <c r="S47" s="59" t="s">
        <v>81</v>
      </c>
      <c r="T47" s="59" t="s">
        <v>80</v>
      </c>
      <c r="U47" s="59" t="s">
        <v>80</v>
      </c>
      <c r="V47" s="59" t="s">
        <v>80</v>
      </c>
      <c r="W47" s="59" t="s">
        <v>81</v>
      </c>
      <c r="X47" s="59" t="s">
        <v>81</v>
      </c>
      <c r="Y47" s="59" t="s">
        <v>80</v>
      </c>
      <c r="Z47" s="59" t="s">
        <v>80</v>
      </c>
      <c r="AA47" s="59" t="s">
        <v>80</v>
      </c>
      <c r="AB47" s="59" t="s">
        <v>81</v>
      </c>
      <c r="AC47" s="59" t="s">
        <v>81</v>
      </c>
      <c r="AD47" s="59" t="s">
        <v>80</v>
      </c>
      <c r="AE47" s="59" t="s">
        <v>80</v>
      </c>
      <c r="AF47" s="59" t="s">
        <v>80</v>
      </c>
      <c r="AG47" s="59" t="s">
        <v>81</v>
      </c>
      <c r="AH47" s="59" t="s">
        <v>81</v>
      </c>
      <c r="AI47" s="59" t="s">
        <v>80</v>
      </c>
      <c r="AJ47" s="59" t="s">
        <v>80</v>
      </c>
      <c r="AK47" s="59" t="s">
        <v>80</v>
      </c>
      <c r="AL47" s="59" t="s">
        <v>81</v>
      </c>
      <c r="AM47" s="59" t="s">
        <v>81</v>
      </c>
      <c r="AN47" s="59" t="s">
        <v>80</v>
      </c>
      <c r="AO47" s="59" t="s">
        <v>80</v>
      </c>
      <c r="AP47" s="59" t="s">
        <v>80</v>
      </c>
      <c r="AQ47" s="59" t="s">
        <v>81</v>
      </c>
      <c r="AR47" s="59" t="s">
        <v>81</v>
      </c>
      <c r="AS47" s="60" t="s">
        <v>80</v>
      </c>
    </row>
    <row r="48" spans="1:45">
      <c r="A48" s="57" t="s">
        <v>1380</v>
      </c>
      <c r="B48" s="57" t="s">
        <v>1414</v>
      </c>
      <c r="C48" s="57" t="s">
        <v>952</v>
      </c>
      <c r="D48" s="57" t="s">
        <v>75</v>
      </c>
      <c r="E48" s="57" t="s">
        <v>108</v>
      </c>
      <c r="F48" s="57" t="s">
        <v>76</v>
      </c>
      <c r="G48" s="57" t="s">
        <v>82</v>
      </c>
      <c r="H48" s="57" t="s">
        <v>75</v>
      </c>
      <c r="I48" s="57" t="s">
        <v>75</v>
      </c>
      <c r="J48" s="57" t="s">
        <v>82</v>
      </c>
      <c r="K48" s="57" t="s">
        <v>75</v>
      </c>
      <c r="L48" s="57" t="s">
        <v>75</v>
      </c>
      <c r="M48" s="57" t="s">
        <v>80</v>
      </c>
      <c r="N48" s="57" t="s">
        <v>80</v>
      </c>
      <c r="O48" s="57" t="s">
        <v>80</v>
      </c>
      <c r="P48" s="57" t="s">
        <v>80</v>
      </c>
      <c r="Q48" s="57" t="s">
        <v>80</v>
      </c>
      <c r="R48" s="57" t="s">
        <v>81</v>
      </c>
      <c r="S48" s="57" t="s">
        <v>81</v>
      </c>
      <c r="T48" s="57" t="s">
        <v>80</v>
      </c>
      <c r="U48" s="57" t="s">
        <v>80</v>
      </c>
      <c r="V48" s="57" t="s">
        <v>80</v>
      </c>
      <c r="W48" s="57" t="s">
        <v>81</v>
      </c>
      <c r="X48" s="57" t="s">
        <v>81</v>
      </c>
      <c r="Y48" s="57" t="s">
        <v>80</v>
      </c>
      <c r="Z48" s="57" t="s">
        <v>80</v>
      </c>
      <c r="AA48" s="57" t="s">
        <v>80</v>
      </c>
      <c r="AB48" s="57" t="s">
        <v>81</v>
      </c>
      <c r="AC48" s="57" t="s">
        <v>81</v>
      </c>
      <c r="AD48" s="57" t="s">
        <v>80</v>
      </c>
      <c r="AE48" s="57" t="s">
        <v>80</v>
      </c>
      <c r="AF48" s="57" t="s">
        <v>80</v>
      </c>
      <c r="AG48" s="57" t="s">
        <v>81</v>
      </c>
      <c r="AH48" s="57" t="s">
        <v>81</v>
      </c>
      <c r="AI48" s="57" t="s">
        <v>80</v>
      </c>
      <c r="AJ48" s="57" t="s">
        <v>80</v>
      </c>
      <c r="AK48" s="57" t="s">
        <v>80</v>
      </c>
      <c r="AL48" s="57" t="s">
        <v>81</v>
      </c>
      <c r="AM48" s="57" t="s">
        <v>81</v>
      </c>
      <c r="AN48" s="57" t="s">
        <v>80</v>
      </c>
      <c r="AO48" s="57" t="s">
        <v>80</v>
      </c>
      <c r="AP48" s="57" t="s">
        <v>80</v>
      </c>
      <c r="AQ48" s="57" t="s">
        <v>81</v>
      </c>
      <c r="AR48" s="57" t="s">
        <v>81</v>
      </c>
      <c r="AS48" s="58" t="s">
        <v>80</v>
      </c>
    </row>
    <row r="49" spans="1:45">
      <c r="A49" s="59" t="s">
        <v>1380</v>
      </c>
      <c r="B49" s="59" t="s">
        <v>150</v>
      </c>
      <c r="C49" s="59" t="s">
        <v>151</v>
      </c>
      <c r="D49" s="59" t="s">
        <v>75</v>
      </c>
      <c r="E49" s="59" t="s">
        <v>433</v>
      </c>
      <c r="F49" s="59" t="s">
        <v>76</v>
      </c>
      <c r="G49" s="59" t="s">
        <v>105</v>
      </c>
      <c r="H49" s="59" t="s">
        <v>152</v>
      </c>
      <c r="I49" s="59" t="s">
        <v>88</v>
      </c>
      <c r="J49" s="59" t="s">
        <v>105</v>
      </c>
      <c r="K49" s="59" t="s">
        <v>152</v>
      </c>
      <c r="L49" s="59" t="s">
        <v>88</v>
      </c>
      <c r="M49" s="59" t="s">
        <v>80</v>
      </c>
      <c r="N49" s="59" t="s">
        <v>80</v>
      </c>
      <c r="O49" s="59" t="s">
        <v>80</v>
      </c>
      <c r="P49" s="59" t="s">
        <v>80</v>
      </c>
      <c r="Q49" s="59" t="s">
        <v>80</v>
      </c>
      <c r="R49" s="59" t="s">
        <v>81</v>
      </c>
      <c r="S49" s="59" t="s">
        <v>81</v>
      </c>
      <c r="T49" s="59" t="s">
        <v>80</v>
      </c>
      <c r="U49" s="59" t="s">
        <v>80</v>
      </c>
      <c r="V49" s="59" t="s">
        <v>80</v>
      </c>
      <c r="W49" s="59" t="s">
        <v>81</v>
      </c>
      <c r="X49" s="59" t="s">
        <v>81</v>
      </c>
      <c r="Y49" s="59" t="s">
        <v>80</v>
      </c>
      <c r="Z49" s="59" t="s">
        <v>80</v>
      </c>
      <c r="AA49" s="59" t="s">
        <v>80</v>
      </c>
      <c r="AB49" s="59" t="s">
        <v>81</v>
      </c>
      <c r="AC49" s="59" t="s">
        <v>81</v>
      </c>
      <c r="AD49" s="59" t="s">
        <v>80</v>
      </c>
      <c r="AE49" s="59" t="s">
        <v>80</v>
      </c>
      <c r="AF49" s="59" t="s">
        <v>80</v>
      </c>
      <c r="AG49" s="59" t="s">
        <v>81</v>
      </c>
      <c r="AH49" s="59" t="s">
        <v>81</v>
      </c>
      <c r="AI49" s="59" t="s">
        <v>80</v>
      </c>
      <c r="AJ49" s="59" t="s">
        <v>80</v>
      </c>
      <c r="AK49" s="59" t="s">
        <v>80</v>
      </c>
      <c r="AL49" s="59" t="s">
        <v>81</v>
      </c>
      <c r="AM49" s="59" t="s">
        <v>81</v>
      </c>
      <c r="AN49" s="59" t="s">
        <v>80</v>
      </c>
      <c r="AO49" s="59" t="s">
        <v>80</v>
      </c>
      <c r="AP49" s="59" t="s">
        <v>80</v>
      </c>
      <c r="AQ49" s="59" t="s">
        <v>81</v>
      </c>
      <c r="AR49" s="59" t="s">
        <v>81</v>
      </c>
      <c r="AS49" s="60" t="s">
        <v>80</v>
      </c>
    </row>
    <row r="50" spans="1:45">
      <c r="A50" s="57" t="s">
        <v>1380</v>
      </c>
      <c r="B50" s="57" t="s">
        <v>153</v>
      </c>
      <c r="C50" s="57" t="s">
        <v>154</v>
      </c>
      <c r="D50" s="57" t="s">
        <v>75</v>
      </c>
      <c r="E50" s="57" t="s">
        <v>429</v>
      </c>
      <c r="F50" s="57" t="s">
        <v>76</v>
      </c>
      <c r="G50" s="57" t="s">
        <v>447</v>
      </c>
      <c r="H50" s="57" t="s">
        <v>476</v>
      </c>
      <c r="I50" s="57" t="s">
        <v>77</v>
      </c>
      <c r="J50" s="57" t="s">
        <v>447</v>
      </c>
      <c r="K50" s="57" t="s">
        <v>476</v>
      </c>
      <c r="L50" s="57" t="s">
        <v>77</v>
      </c>
      <c r="M50" s="57" t="s">
        <v>80</v>
      </c>
      <c r="N50" s="57" t="s">
        <v>80</v>
      </c>
      <c r="O50" s="57" t="s">
        <v>80</v>
      </c>
      <c r="P50" s="57" t="s">
        <v>80</v>
      </c>
      <c r="Q50" s="57" t="s">
        <v>80</v>
      </c>
      <c r="R50" s="57" t="s">
        <v>81</v>
      </c>
      <c r="S50" s="57" t="s">
        <v>81</v>
      </c>
      <c r="T50" s="57" t="s">
        <v>80</v>
      </c>
      <c r="U50" s="57" t="s">
        <v>80</v>
      </c>
      <c r="V50" s="57" t="s">
        <v>80</v>
      </c>
      <c r="W50" s="57" t="s">
        <v>81</v>
      </c>
      <c r="X50" s="57" t="s">
        <v>81</v>
      </c>
      <c r="Y50" s="57" t="s">
        <v>80</v>
      </c>
      <c r="Z50" s="57" t="s">
        <v>80</v>
      </c>
      <c r="AA50" s="57" t="s">
        <v>80</v>
      </c>
      <c r="AB50" s="57" t="s">
        <v>81</v>
      </c>
      <c r="AC50" s="57" t="s">
        <v>81</v>
      </c>
      <c r="AD50" s="57" t="s">
        <v>80</v>
      </c>
      <c r="AE50" s="57" t="s">
        <v>80</v>
      </c>
      <c r="AF50" s="57" t="s">
        <v>80</v>
      </c>
      <c r="AG50" s="57" t="s">
        <v>81</v>
      </c>
      <c r="AH50" s="57" t="s">
        <v>81</v>
      </c>
      <c r="AI50" s="57" t="s">
        <v>80</v>
      </c>
      <c r="AJ50" s="57" t="s">
        <v>80</v>
      </c>
      <c r="AK50" s="57" t="s">
        <v>80</v>
      </c>
      <c r="AL50" s="57" t="s">
        <v>81</v>
      </c>
      <c r="AM50" s="57" t="s">
        <v>81</v>
      </c>
      <c r="AN50" s="57" t="s">
        <v>80</v>
      </c>
      <c r="AO50" s="57" t="s">
        <v>80</v>
      </c>
      <c r="AP50" s="57" t="s">
        <v>80</v>
      </c>
      <c r="AQ50" s="57" t="s">
        <v>81</v>
      </c>
      <c r="AR50" s="57" t="s">
        <v>81</v>
      </c>
      <c r="AS50" s="58" t="s">
        <v>80</v>
      </c>
    </row>
    <row r="51" spans="1:45">
      <c r="A51" s="59" t="s">
        <v>1380</v>
      </c>
      <c r="B51" s="59" t="s">
        <v>157</v>
      </c>
      <c r="C51" s="59" t="s">
        <v>158</v>
      </c>
      <c r="D51" s="59" t="s">
        <v>75</v>
      </c>
      <c r="E51" s="59" t="s">
        <v>173</v>
      </c>
      <c r="F51" s="59" t="s">
        <v>76</v>
      </c>
      <c r="G51" s="59" t="s">
        <v>98</v>
      </c>
      <c r="H51" s="59" t="s">
        <v>99</v>
      </c>
      <c r="I51" s="59" t="s">
        <v>79</v>
      </c>
      <c r="J51" s="59" t="s">
        <v>98</v>
      </c>
      <c r="K51" s="59" t="s">
        <v>99</v>
      </c>
      <c r="L51" s="59" t="s">
        <v>79</v>
      </c>
      <c r="M51" s="59" t="s">
        <v>80</v>
      </c>
      <c r="N51" s="59" t="s">
        <v>80</v>
      </c>
      <c r="O51" s="59" t="s">
        <v>80</v>
      </c>
      <c r="P51" s="59" t="s">
        <v>80</v>
      </c>
      <c r="Q51" s="59" t="s">
        <v>80</v>
      </c>
      <c r="R51" s="59" t="s">
        <v>81</v>
      </c>
      <c r="S51" s="59" t="s">
        <v>81</v>
      </c>
      <c r="T51" s="59" t="s">
        <v>80</v>
      </c>
      <c r="U51" s="59" t="s">
        <v>80</v>
      </c>
      <c r="V51" s="59" t="s">
        <v>80</v>
      </c>
      <c r="W51" s="59" t="s">
        <v>81</v>
      </c>
      <c r="X51" s="59" t="s">
        <v>81</v>
      </c>
      <c r="Y51" s="59" t="s">
        <v>80</v>
      </c>
      <c r="Z51" s="59" t="s">
        <v>80</v>
      </c>
      <c r="AA51" s="59" t="s">
        <v>80</v>
      </c>
      <c r="AB51" s="59" t="s">
        <v>81</v>
      </c>
      <c r="AC51" s="59" t="s">
        <v>81</v>
      </c>
      <c r="AD51" s="59" t="s">
        <v>80</v>
      </c>
      <c r="AE51" s="59" t="s">
        <v>80</v>
      </c>
      <c r="AF51" s="59" t="s">
        <v>80</v>
      </c>
      <c r="AG51" s="59" t="s">
        <v>81</v>
      </c>
      <c r="AH51" s="59" t="s">
        <v>81</v>
      </c>
      <c r="AI51" s="59" t="s">
        <v>80</v>
      </c>
      <c r="AJ51" s="59" t="s">
        <v>80</v>
      </c>
      <c r="AK51" s="59" t="s">
        <v>80</v>
      </c>
      <c r="AL51" s="59" t="s">
        <v>81</v>
      </c>
      <c r="AM51" s="59" t="s">
        <v>81</v>
      </c>
      <c r="AN51" s="59" t="s">
        <v>80</v>
      </c>
      <c r="AO51" s="59" t="s">
        <v>80</v>
      </c>
      <c r="AP51" s="59" t="s">
        <v>80</v>
      </c>
      <c r="AQ51" s="59" t="s">
        <v>81</v>
      </c>
      <c r="AR51" s="59" t="s">
        <v>81</v>
      </c>
      <c r="AS51" s="60" t="s">
        <v>80</v>
      </c>
    </row>
    <row r="52" spans="1:45">
      <c r="A52" s="57" t="s">
        <v>1380</v>
      </c>
      <c r="B52" s="57" t="s">
        <v>159</v>
      </c>
      <c r="C52" s="57" t="s">
        <v>160</v>
      </c>
      <c r="D52" s="57" t="s">
        <v>75</v>
      </c>
      <c r="E52" s="57" t="s">
        <v>104</v>
      </c>
      <c r="F52" s="57" t="s">
        <v>76</v>
      </c>
      <c r="G52" s="57" t="s">
        <v>93</v>
      </c>
      <c r="H52" s="57" t="s">
        <v>99</v>
      </c>
      <c r="I52" s="57" t="s">
        <v>75</v>
      </c>
      <c r="J52" s="57" t="s">
        <v>90</v>
      </c>
      <c r="K52" s="57" t="s">
        <v>91</v>
      </c>
      <c r="L52" s="57" t="s">
        <v>75</v>
      </c>
      <c r="M52" s="57" t="s">
        <v>82</v>
      </c>
      <c r="N52" s="57" t="s">
        <v>75</v>
      </c>
      <c r="O52" s="57" t="s">
        <v>75</v>
      </c>
      <c r="P52" s="57" t="s">
        <v>80</v>
      </c>
      <c r="Q52" s="57" t="s">
        <v>80</v>
      </c>
      <c r="R52" s="57" t="s">
        <v>81</v>
      </c>
      <c r="S52" s="57" t="s">
        <v>81</v>
      </c>
      <c r="T52" s="57" t="s">
        <v>80</v>
      </c>
      <c r="U52" s="57" t="s">
        <v>80</v>
      </c>
      <c r="V52" s="57" t="s">
        <v>80</v>
      </c>
      <c r="W52" s="57" t="s">
        <v>81</v>
      </c>
      <c r="X52" s="57" t="s">
        <v>81</v>
      </c>
      <c r="Y52" s="57" t="s">
        <v>80</v>
      </c>
      <c r="Z52" s="57" t="s">
        <v>80</v>
      </c>
      <c r="AA52" s="57" t="s">
        <v>80</v>
      </c>
      <c r="AB52" s="57" t="s">
        <v>81</v>
      </c>
      <c r="AC52" s="57" t="s">
        <v>81</v>
      </c>
      <c r="AD52" s="57" t="s">
        <v>80</v>
      </c>
      <c r="AE52" s="57" t="s">
        <v>80</v>
      </c>
      <c r="AF52" s="57" t="s">
        <v>80</v>
      </c>
      <c r="AG52" s="57" t="s">
        <v>81</v>
      </c>
      <c r="AH52" s="57" t="s">
        <v>81</v>
      </c>
      <c r="AI52" s="57" t="s">
        <v>80</v>
      </c>
      <c r="AJ52" s="57" t="s">
        <v>80</v>
      </c>
      <c r="AK52" s="57" t="s">
        <v>80</v>
      </c>
      <c r="AL52" s="57" t="s">
        <v>81</v>
      </c>
      <c r="AM52" s="57" t="s">
        <v>81</v>
      </c>
      <c r="AN52" s="57" t="s">
        <v>80</v>
      </c>
      <c r="AO52" s="57" t="s">
        <v>80</v>
      </c>
      <c r="AP52" s="57" t="s">
        <v>80</v>
      </c>
      <c r="AQ52" s="57" t="s">
        <v>81</v>
      </c>
      <c r="AR52" s="57" t="s">
        <v>81</v>
      </c>
      <c r="AS52" s="58" t="s">
        <v>80</v>
      </c>
    </row>
    <row r="53" spans="1:45">
      <c r="A53" s="59" t="s">
        <v>1380</v>
      </c>
      <c r="B53" s="59" t="s">
        <v>34</v>
      </c>
      <c r="C53" s="59" t="s">
        <v>33</v>
      </c>
      <c r="D53" s="59" t="s">
        <v>103</v>
      </c>
      <c r="E53" s="59" t="s">
        <v>173</v>
      </c>
      <c r="F53" s="59" t="s">
        <v>76</v>
      </c>
      <c r="G53" s="59" t="s">
        <v>98</v>
      </c>
      <c r="H53" s="59" t="s">
        <v>113</v>
      </c>
      <c r="I53" s="59" t="s">
        <v>475</v>
      </c>
      <c r="J53" s="59" t="s">
        <v>98</v>
      </c>
      <c r="K53" s="59" t="s">
        <v>113</v>
      </c>
      <c r="L53" s="59" t="s">
        <v>475</v>
      </c>
      <c r="M53" s="59" t="s">
        <v>80</v>
      </c>
      <c r="N53" s="59" t="s">
        <v>80</v>
      </c>
      <c r="O53" s="59" t="s">
        <v>80</v>
      </c>
      <c r="P53" s="59" t="s">
        <v>80</v>
      </c>
      <c r="Q53" s="59" t="s">
        <v>80</v>
      </c>
      <c r="R53" s="59" t="s">
        <v>81</v>
      </c>
      <c r="S53" s="59" t="s">
        <v>81</v>
      </c>
      <c r="T53" s="59" t="s">
        <v>80</v>
      </c>
      <c r="U53" s="59" t="s">
        <v>80</v>
      </c>
      <c r="V53" s="59" t="s">
        <v>80</v>
      </c>
      <c r="W53" s="59" t="s">
        <v>81</v>
      </c>
      <c r="X53" s="59" t="s">
        <v>81</v>
      </c>
      <c r="Y53" s="59" t="s">
        <v>80</v>
      </c>
      <c r="Z53" s="59" t="s">
        <v>80</v>
      </c>
      <c r="AA53" s="59" t="s">
        <v>80</v>
      </c>
      <c r="AB53" s="59" t="s">
        <v>81</v>
      </c>
      <c r="AC53" s="59" t="s">
        <v>81</v>
      </c>
      <c r="AD53" s="59" t="s">
        <v>80</v>
      </c>
      <c r="AE53" s="59" t="s">
        <v>80</v>
      </c>
      <c r="AF53" s="59" t="s">
        <v>80</v>
      </c>
      <c r="AG53" s="59" t="s">
        <v>81</v>
      </c>
      <c r="AH53" s="59" t="s">
        <v>81</v>
      </c>
      <c r="AI53" s="59" t="s">
        <v>80</v>
      </c>
      <c r="AJ53" s="59" t="s">
        <v>80</v>
      </c>
      <c r="AK53" s="59" t="s">
        <v>80</v>
      </c>
      <c r="AL53" s="59" t="s">
        <v>81</v>
      </c>
      <c r="AM53" s="59" t="s">
        <v>81</v>
      </c>
      <c r="AN53" s="59" t="s">
        <v>80</v>
      </c>
      <c r="AO53" s="59" t="s">
        <v>80</v>
      </c>
      <c r="AP53" s="59" t="s">
        <v>80</v>
      </c>
      <c r="AQ53" s="59" t="s">
        <v>81</v>
      </c>
      <c r="AR53" s="59" t="s">
        <v>81</v>
      </c>
      <c r="AS53" s="60" t="s">
        <v>80</v>
      </c>
    </row>
    <row r="54" spans="1:45">
      <c r="A54" s="57" t="s">
        <v>1380</v>
      </c>
      <c r="B54" s="57" t="s">
        <v>163</v>
      </c>
      <c r="C54" s="57" t="s">
        <v>164</v>
      </c>
      <c r="D54" s="57" t="s">
        <v>75</v>
      </c>
      <c r="E54" s="57" t="s">
        <v>1399</v>
      </c>
      <c r="F54" s="57" t="s">
        <v>76</v>
      </c>
      <c r="G54" s="57" t="s">
        <v>82</v>
      </c>
      <c r="H54" s="57" t="s">
        <v>75</v>
      </c>
      <c r="I54" s="57" t="s">
        <v>75</v>
      </c>
      <c r="J54" s="57" t="s">
        <v>82</v>
      </c>
      <c r="K54" s="57" t="s">
        <v>75</v>
      </c>
      <c r="L54" s="57" t="s">
        <v>75</v>
      </c>
      <c r="M54" s="57" t="s">
        <v>80</v>
      </c>
      <c r="N54" s="57" t="s">
        <v>80</v>
      </c>
      <c r="O54" s="57" t="s">
        <v>80</v>
      </c>
      <c r="P54" s="57" t="s">
        <v>80</v>
      </c>
      <c r="Q54" s="57" t="s">
        <v>80</v>
      </c>
      <c r="R54" s="57" t="s">
        <v>81</v>
      </c>
      <c r="S54" s="57" t="s">
        <v>81</v>
      </c>
      <c r="T54" s="57" t="s">
        <v>80</v>
      </c>
      <c r="U54" s="57" t="s">
        <v>80</v>
      </c>
      <c r="V54" s="57" t="s">
        <v>80</v>
      </c>
      <c r="W54" s="57" t="s">
        <v>81</v>
      </c>
      <c r="X54" s="57" t="s">
        <v>81</v>
      </c>
      <c r="Y54" s="57" t="s">
        <v>80</v>
      </c>
      <c r="Z54" s="57" t="s">
        <v>80</v>
      </c>
      <c r="AA54" s="57" t="s">
        <v>80</v>
      </c>
      <c r="AB54" s="57" t="s">
        <v>81</v>
      </c>
      <c r="AC54" s="57" t="s">
        <v>81</v>
      </c>
      <c r="AD54" s="57" t="s">
        <v>80</v>
      </c>
      <c r="AE54" s="57" t="s">
        <v>80</v>
      </c>
      <c r="AF54" s="57" t="s">
        <v>80</v>
      </c>
      <c r="AG54" s="57" t="s">
        <v>81</v>
      </c>
      <c r="AH54" s="57" t="s">
        <v>81</v>
      </c>
      <c r="AI54" s="57" t="s">
        <v>80</v>
      </c>
      <c r="AJ54" s="57" t="s">
        <v>80</v>
      </c>
      <c r="AK54" s="57" t="s">
        <v>80</v>
      </c>
      <c r="AL54" s="57" t="s">
        <v>81</v>
      </c>
      <c r="AM54" s="57" t="s">
        <v>81</v>
      </c>
      <c r="AN54" s="57" t="s">
        <v>80</v>
      </c>
      <c r="AO54" s="57" t="s">
        <v>80</v>
      </c>
      <c r="AP54" s="57" t="s">
        <v>80</v>
      </c>
      <c r="AQ54" s="57" t="s">
        <v>81</v>
      </c>
      <c r="AR54" s="57" t="s">
        <v>81</v>
      </c>
      <c r="AS54" s="58" t="s">
        <v>80</v>
      </c>
    </row>
    <row r="55" spans="1:45">
      <c r="A55" s="59" t="s">
        <v>1380</v>
      </c>
      <c r="B55" s="59" t="s">
        <v>30</v>
      </c>
      <c r="C55" s="59" t="s">
        <v>29</v>
      </c>
      <c r="D55" s="59" t="s">
        <v>103</v>
      </c>
      <c r="E55" s="59" t="s">
        <v>165</v>
      </c>
      <c r="F55" s="59" t="s">
        <v>76</v>
      </c>
      <c r="G55" s="59" t="s">
        <v>426</v>
      </c>
      <c r="H55" s="59" t="s">
        <v>1415</v>
      </c>
      <c r="I55" s="59" t="s">
        <v>155</v>
      </c>
      <c r="J55" s="59" t="s">
        <v>586</v>
      </c>
      <c r="K55" s="59" t="s">
        <v>1416</v>
      </c>
      <c r="L55" s="59" t="s">
        <v>155</v>
      </c>
      <c r="M55" s="59" t="s">
        <v>82</v>
      </c>
      <c r="N55" s="59" t="s">
        <v>103</v>
      </c>
      <c r="O55" s="59" t="s">
        <v>103</v>
      </c>
      <c r="P55" s="59" t="s">
        <v>80</v>
      </c>
      <c r="Q55" s="59" t="s">
        <v>80</v>
      </c>
      <c r="R55" s="59" t="s">
        <v>81</v>
      </c>
      <c r="S55" s="59" t="s">
        <v>81</v>
      </c>
      <c r="T55" s="59" t="s">
        <v>80</v>
      </c>
      <c r="U55" s="59" t="s">
        <v>80</v>
      </c>
      <c r="V55" s="59" t="s">
        <v>80</v>
      </c>
      <c r="W55" s="59" t="s">
        <v>81</v>
      </c>
      <c r="X55" s="59" t="s">
        <v>81</v>
      </c>
      <c r="Y55" s="59" t="s">
        <v>80</v>
      </c>
      <c r="Z55" s="59" t="s">
        <v>80</v>
      </c>
      <c r="AA55" s="59" t="s">
        <v>80</v>
      </c>
      <c r="AB55" s="59" t="s">
        <v>81</v>
      </c>
      <c r="AC55" s="59" t="s">
        <v>81</v>
      </c>
      <c r="AD55" s="59" t="s">
        <v>80</v>
      </c>
      <c r="AE55" s="59" t="s">
        <v>80</v>
      </c>
      <c r="AF55" s="59" t="s">
        <v>80</v>
      </c>
      <c r="AG55" s="59" t="s">
        <v>81</v>
      </c>
      <c r="AH55" s="59" t="s">
        <v>81</v>
      </c>
      <c r="AI55" s="59" t="s">
        <v>80</v>
      </c>
      <c r="AJ55" s="59" t="s">
        <v>80</v>
      </c>
      <c r="AK55" s="59" t="s">
        <v>80</v>
      </c>
      <c r="AL55" s="59" t="s">
        <v>81</v>
      </c>
      <c r="AM55" s="59" t="s">
        <v>81</v>
      </c>
      <c r="AN55" s="59" t="s">
        <v>80</v>
      </c>
      <c r="AO55" s="59" t="s">
        <v>80</v>
      </c>
      <c r="AP55" s="59" t="s">
        <v>80</v>
      </c>
      <c r="AQ55" s="59" t="s">
        <v>81</v>
      </c>
      <c r="AR55" s="59" t="s">
        <v>81</v>
      </c>
      <c r="AS55" s="60" t="s">
        <v>80</v>
      </c>
    </row>
    <row r="56" spans="1:45">
      <c r="A56" s="57" t="s">
        <v>1380</v>
      </c>
      <c r="B56" s="57" t="s">
        <v>167</v>
      </c>
      <c r="C56" s="57" t="s">
        <v>168</v>
      </c>
      <c r="D56" s="57" t="s">
        <v>75</v>
      </c>
      <c r="E56" s="57" t="s">
        <v>221</v>
      </c>
      <c r="F56" s="57" t="s">
        <v>76</v>
      </c>
      <c r="G56" s="57" t="s">
        <v>94</v>
      </c>
      <c r="H56" s="57" t="s">
        <v>113</v>
      </c>
      <c r="I56" s="57" t="s">
        <v>88</v>
      </c>
      <c r="J56" s="57" t="s">
        <v>85</v>
      </c>
      <c r="K56" s="57" t="s">
        <v>430</v>
      </c>
      <c r="L56" s="57" t="s">
        <v>77</v>
      </c>
      <c r="M56" s="57" t="s">
        <v>82</v>
      </c>
      <c r="N56" s="57" t="s">
        <v>75</v>
      </c>
      <c r="O56" s="57" t="s">
        <v>75</v>
      </c>
      <c r="P56" s="57" t="s">
        <v>80</v>
      </c>
      <c r="Q56" s="57" t="s">
        <v>80</v>
      </c>
      <c r="R56" s="57" t="s">
        <v>81</v>
      </c>
      <c r="S56" s="57" t="s">
        <v>81</v>
      </c>
      <c r="T56" s="57" t="s">
        <v>80</v>
      </c>
      <c r="U56" s="57" t="s">
        <v>80</v>
      </c>
      <c r="V56" s="57" t="s">
        <v>80</v>
      </c>
      <c r="W56" s="57" t="s">
        <v>81</v>
      </c>
      <c r="X56" s="57" t="s">
        <v>81</v>
      </c>
      <c r="Y56" s="57" t="s">
        <v>80</v>
      </c>
      <c r="Z56" s="57" t="s">
        <v>80</v>
      </c>
      <c r="AA56" s="57" t="s">
        <v>80</v>
      </c>
      <c r="AB56" s="57" t="s">
        <v>81</v>
      </c>
      <c r="AC56" s="57" t="s">
        <v>81</v>
      </c>
      <c r="AD56" s="57" t="s">
        <v>80</v>
      </c>
      <c r="AE56" s="57" t="s">
        <v>80</v>
      </c>
      <c r="AF56" s="57" t="s">
        <v>80</v>
      </c>
      <c r="AG56" s="57" t="s">
        <v>81</v>
      </c>
      <c r="AH56" s="57" t="s">
        <v>81</v>
      </c>
      <c r="AI56" s="57" t="s">
        <v>80</v>
      </c>
      <c r="AJ56" s="57" t="s">
        <v>80</v>
      </c>
      <c r="AK56" s="57" t="s">
        <v>80</v>
      </c>
      <c r="AL56" s="57" t="s">
        <v>81</v>
      </c>
      <c r="AM56" s="57" t="s">
        <v>81</v>
      </c>
      <c r="AN56" s="57" t="s">
        <v>80</v>
      </c>
      <c r="AO56" s="57" t="s">
        <v>80</v>
      </c>
      <c r="AP56" s="57" t="s">
        <v>80</v>
      </c>
      <c r="AQ56" s="57" t="s">
        <v>81</v>
      </c>
      <c r="AR56" s="57" t="s">
        <v>81</v>
      </c>
      <c r="AS56" s="58" t="s">
        <v>80</v>
      </c>
    </row>
    <row r="57" spans="1:45">
      <c r="A57" s="59" t="s">
        <v>1380</v>
      </c>
      <c r="B57" s="59" t="s">
        <v>169</v>
      </c>
      <c r="C57" s="59" t="s">
        <v>170</v>
      </c>
      <c r="D57" s="59" t="s">
        <v>75</v>
      </c>
      <c r="E57" s="59" t="s">
        <v>232</v>
      </c>
      <c r="F57" s="59" t="s">
        <v>76</v>
      </c>
      <c r="G57" s="59" t="s">
        <v>82</v>
      </c>
      <c r="H57" s="59" t="s">
        <v>79</v>
      </c>
      <c r="I57" s="59" t="s">
        <v>79</v>
      </c>
      <c r="J57" s="59" t="s">
        <v>82</v>
      </c>
      <c r="K57" s="59" t="s">
        <v>79</v>
      </c>
      <c r="L57" s="59" t="s">
        <v>79</v>
      </c>
      <c r="M57" s="59" t="s">
        <v>80</v>
      </c>
      <c r="N57" s="59" t="s">
        <v>80</v>
      </c>
      <c r="O57" s="59" t="s">
        <v>80</v>
      </c>
      <c r="P57" s="59" t="s">
        <v>80</v>
      </c>
      <c r="Q57" s="59" t="s">
        <v>80</v>
      </c>
      <c r="R57" s="59" t="s">
        <v>81</v>
      </c>
      <c r="S57" s="59" t="s">
        <v>81</v>
      </c>
      <c r="T57" s="59" t="s">
        <v>80</v>
      </c>
      <c r="U57" s="59" t="s">
        <v>80</v>
      </c>
      <c r="V57" s="59" t="s">
        <v>80</v>
      </c>
      <c r="W57" s="59" t="s">
        <v>81</v>
      </c>
      <c r="X57" s="59" t="s">
        <v>81</v>
      </c>
      <c r="Y57" s="59" t="s">
        <v>80</v>
      </c>
      <c r="Z57" s="59" t="s">
        <v>80</v>
      </c>
      <c r="AA57" s="59" t="s">
        <v>80</v>
      </c>
      <c r="AB57" s="59" t="s">
        <v>81</v>
      </c>
      <c r="AC57" s="59" t="s">
        <v>81</v>
      </c>
      <c r="AD57" s="59" t="s">
        <v>80</v>
      </c>
      <c r="AE57" s="59" t="s">
        <v>80</v>
      </c>
      <c r="AF57" s="59" t="s">
        <v>80</v>
      </c>
      <c r="AG57" s="59" t="s">
        <v>81</v>
      </c>
      <c r="AH57" s="59" t="s">
        <v>81</v>
      </c>
      <c r="AI57" s="59" t="s">
        <v>80</v>
      </c>
      <c r="AJ57" s="59" t="s">
        <v>80</v>
      </c>
      <c r="AK57" s="59" t="s">
        <v>80</v>
      </c>
      <c r="AL57" s="59" t="s">
        <v>81</v>
      </c>
      <c r="AM57" s="59" t="s">
        <v>81</v>
      </c>
      <c r="AN57" s="59" t="s">
        <v>80</v>
      </c>
      <c r="AO57" s="59" t="s">
        <v>80</v>
      </c>
      <c r="AP57" s="59" t="s">
        <v>80</v>
      </c>
      <c r="AQ57" s="59" t="s">
        <v>81</v>
      </c>
      <c r="AR57" s="59" t="s">
        <v>81</v>
      </c>
      <c r="AS57" s="60" t="s">
        <v>80</v>
      </c>
    </row>
    <row r="58" spans="1:45">
      <c r="A58" s="57" t="s">
        <v>1380</v>
      </c>
      <c r="B58" s="57" t="s">
        <v>171</v>
      </c>
      <c r="C58" s="57" t="s">
        <v>172</v>
      </c>
      <c r="D58" s="57" t="s">
        <v>75</v>
      </c>
      <c r="E58" s="57" t="s">
        <v>303</v>
      </c>
      <c r="F58" s="57" t="s">
        <v>76</v>
      </c>
      <c r="G58" s="57" t="s">
        <v>90</v>
      </c>
      <c r="H58" s="57" t="s">
        <v>91</v>
      </c>
      <c r="I58" s="57" t="s">
        <v>75</v>
      </c>
      <c r="J58" s="57" t="s">
        <v>82</v>
      </c>
      <c r="K58" s="57" t="s">
        <v>75</v>
      </c>
      <c r="L58" s="57" t="s">
        <v>75</v>
      </c>
      <c r="M58" s="57" t="s">
        <v>82</v>
      </c>
      <c r="N58" s="57" t="s">
        <v>75</v>
      </c>
      <c r="O58" s="57" t="s">
        <v>75</v>
      </c>
      <c r="P58" s="57" t="s">
        <v>80</v>
      </c>
      <c r="Q58" s="57" t="s">
        <v>80</v>
      </c>
      <c r="R58" s="57" t="s">
        <v>81</v>
      </c>
      <c r="S58" s="57" t="s">
        <v>81</v>
      </c>
      <c r="T58" s="57" t="s">
        <v>80</v>
      </c>
      <c r="U58" s="57" t="s">
        <v>80</v>
      </c>
      <c r="V58" s="57" t="s">
        <v>80</v>
      </c>
      <c r="W58" s="57" t="s">
        <v>81</v>
      </c>
      <c r="X58" s="57" t="s">
        <v>81</v>
      </c>
      <c r="Y58" s="57" t="s">
        <v>80</v>
      </c>
      <c r="Z58" s="57" t="s">
        <v>80</v>
      </c>
      <c r="AA58" s="57" t="s">
        <v>80</v>
      </c>
      <c r="AB58" s="57" t="s">
        <v>81</v>
      </c>
      <c r="AC58" s="57" t="s">
        <v>81</v>
      </c>
      <c r="AD58" s="57" t="s">
        <v>80</v>
      </c>
      <c r="AE58" s="57" t="s">
        <v>80</v>
      </c>
      <c r="AF58" s="57" t="s">
        <v>80</v>
      </c>
      <c r="AG58" s="57" t="s">
        <v>81</v>
      </c>
      <c r="AH58" s="57" t="s">
        <v>81</v>
      </c>
      <c r="AI58" s="57" t="s">
        <v>80</v>
      </c>
      <c r="AJ58" s="57" t="s">
        <v>80</v>
      </c>
      <c r="AK58" s="57" t="s">
        <v>80</v>
      </c>
      <c r="AL58" s="57" t="s">
        <v>81</v>
      </c>
      <c r="AM58" s="57" t="s">
        <v>81</v>
      </c>
      <c r="AN58" s="57" t="s">
        <v>80</v>
      </c>
      <c r="AO58" s="57" t="s">
        <v>80</v>
      </c>
      <c r="AP58" s="57" t="s">
        <v>80</v>
      </c>
      <c r="AQ58" s="57" t="s">
        <v>81</v>
      </c>
      <c r="AR58" s="57" t="s">
        <v>81</v>
      </c>
      <c r="AS58" s="58" t="s">
        <v>80</v>
      </c>
    </row>
    <row r="59" spans="1:45">
      <c r="A59" s="59" t="s">
        <v>1380</v>
      </c>
      <c r="B59" s="59" t="s">
        <v>174</v>
      </c>
      <c r="C59" s="59" t="s">
        <v>175</v>
      </c>
      <c r="D59" s="59" t="s">
        <v>75</v>
      </c>
      <c r="E59" s="59" t="s">
        <v>92</v>
      </c>
      <c r="F59" s="59" t="s">
        <v>76</v>
      </c>
      <c r="G59" s="59" t="s">
        <v>82</v>
      </c>
      <c r="H59" s="59" t="s">
        <v>75</v>
      </c>
      <c r="I59" s="59" t="s">
        <v>75</v>
      </c>
      <c r="J59" s="59" t="s">
        <v>82</v>
      </c>
      <c r="K59" s="59" t="s">
        <v>75</v>
      </c>
      <c r="L59" s="59" t="s">
        <v>75</v>
      </c>
      <c r="M59" s="59" t="s">
        <v>80</v>
      </c>
      <c r="N59" s="59" t="s">
        <v>80</v>
      </c>
      <c r="O59" s="59" t="s">
        <v>80</v>
      </c>
      <c r="P59" s="59" t="s">
        <v>80</v>
      </c>
      <c r="Q59" s="59" t="s">
        <v>80</v>
      </c>
      <c r="R59" s="59" t="s">
        <v>81</v>
      </c>
      <c r="S59" s="59" t="s">
        <v>81</v>
      </c>
      <c r="T59" s="59" t="s">
        <v>80</v>
      </c>
      <c r="U59" s="59" t="s">
        <v>80</v>
      </c>
      <c r="V59" s="59" t="s">
        <v>80</v>
      </c>
      <c r="W59" s="59" t="s">
        <v>81</v>
      </c>
      <c r="X59" s="59" t="s">
        <v>81</v>
      </c>
      <c r="Y59" s="59" t="s">
        <v>80</v>
      </c>
      <c r="Z59" s="59" t="s">
        <v>80</v>
      </c>
      <c r="AA59" s="59" t="s">
        <v>80</v>
      </c>
      <c r="AB59" s="59" t="s">
        <v>81</v>
      </c>
      <c r="AC59" s="59" t="s">
        <v>81</v>
      </c>
      <c r="AD59" s="59" t="s">
        <v>80</v>
      </c>
      <c r="AE59" s="59" t="s">
        <v>80</v>
      </c>
      <c r="AF59" s="59" t="s">
        <v>80</v>
      </c>
      <c r="AG59" s="59" t="s">
        <v>81</v>
      </c>
      <c r="AH59" s="59" t="s">
        <v>81</v>
      </c>
      <c r="AI59" s="59" t="s">
        <v>80</v>
      </c>
      <c r="AJ59" s="59" t="s">
        <v>80</v>
      </c>
      <c r="AK59" s="59" t="s">
        <v>80</v>
      </c>
      <c r="AL59" s="59" t="s">
        <v>81</v>
      </c>
      <c r="AM59" s="59" t="s">
        <v>81</v>
      </c>
      <c r="AN59" s="59" t="s">
        <v>80</v>
      </c>
      <c r="AO59" s="59" t="s">
        <v>80</v>
      </c>
      <c r="AP59" s="59" t="s">
        <v>80</v>
      </c>
      <c r="AQ59" s="59" t="s">
        <v>81</v>
      </c>
      <c r="AR59" s="59" t="s">
        <v>81</v>
      </c>
      <c r="AS59" s="60" t="s">
        <v>80</v>
      </c>
    </row>
    <row r="60" spans="1:45">
      <c r="A60" s="57" t="s">
        <v>1380</v>
      </c>
      <c r="B60" s="57" t="s">
        <v>177</v>
      </c>
      <c r="C60" s="57" t="s">
        <v>178</v>
      </c>
      <c r="D60" s="57" t="s">
        <v>75</v>
      </c>
      <c r="E60" s="57" t="s">
        <v>1399</v>
      </c>
      <c r="F60" s="57" t="s">
        <v>76</v>
      </c>
      <c r="G60" s="57" t="s">
        <v>84</v>
      </c>
      <c r="H60" s="57" t="s">
        <v>399</v>
      </c>
      <c r="I60" s="57" t="s">
        <v>116</v>
      </c>
      <c r="J60" s="57" t="s">
        <v>84</v>
      </c>
      <c r="K60" s="57" t="s">
        <v>399</v>
      </c>
      <c r="L60" s="57" t="s">
        <v>116</v>
      </c>
      <c r="M60" s="57" t="s">
        <v>80</v>
      </c>
      <c r="N60" s="57" t="s">
        <v>80</v>
      </c>
      <c r="O60" s="57" t="s">
        <v>80</v>
      </c>
      <c r="P60" s="57" t="s">
        <v>80</v>
      </c>
      <c r="Q60" s="57" t="s">
        <v>80</v>
      </c>
      <c r="R60" s="57" t="s">
        <v>81</v>
      </c>
      <c r="S60" s="57" t="s">
        <v>81</v>
      </c>
      <c r="T60" s="57" t="s">
        <v>80</v>
      </c>
      <c r="U60" s="57" t="s">
        <v>80</v>
      </c>
      <c r="V60" s="57" t="s">
        <v>80</v>
      </c>
      <c r="W60" s="57" t="s">
        <v>81</v>
      </c>
      <c r="X60" s="57" t="s">
        <v>81</v>
      </c>
      <c r="Y60" s="57" t="s">
        <v>80</v>
      </c>
      <c r="Z60" s="57" t="s">
        <v>80</v>
      </c>
      <c r="AA60" s="57" t="s">
        <v>80</v>
      </c>
      <c r="AB60" s="57" t="s">
        <v>81</v>
      </c>
      <c r="AC60" s="57" t="s">
        <v>81</v>
      </c>
      <c r="AD60" s="57" t="s">
        <v>80</v>
      </c>
      <c r="AE60" s="57" t="s">
        <v>80</v>
      </c>
      <c r="AF60" s="57" t="s">
        <v>80</v>
      </c>
      <c r="AG60" s="57" t="s">
        <v>81</v>
      </c>
      <c r="AH60" s="57" t="s">
        <v>81</v>
      </c>
      <c r="AI60" s="57" t="s">
        <v>80</v>
      </c>
      <c r="AJ60" s="57" t="s">
        <v>80</v>
      </c>
      <c r="AK60" s="57" t="s">
        <v>80</v>
      </c>
      <c r="AL60" s="57" t="s">
        <v>81</v>
      </c>
      <c r="AM60" s="57" t="s">
        <v>81</v>
      </c>
      <c r="AN60" s="57" t="s">
        <v>80</v>
      </c>
      <c r="AO60" s="57" t="s">
        <v>80</v>
      </c>
      <c r="AP60" s="57" t="s">
        <v>80</v>
      </c>
      <c r="AQ60" s="57" t="s">
        <v>81</v>
      </c>
      <c r="AR60" s="57" t="s">
        <v>81</v>
      </c>
      <c r="AS60" s="58" t="s">
        <v>80</v>
      </c>
    </row>
    <row r="61" spans="1:45">
      <c r="A61" s="59" t="s">
        <v>1380</v>
      </c>
      <c r="B61" s="59" t="s">
        <v>179</v>
      </c>
      <c r="C61" s="59" t="s">
        <v>180</v>
      </c>
      <c r="D61" s="59" t="s">
        <v>75</v>
      </c>
      <c r="E61" s="59" t="s">
        <v>340</v>
      </c>
      <c r="F61" s="59" t="s">
        <v>76</v>
      </c>
      <c r="G61" s="59" t="s">
        <v>105</v>
      </c>
      <c r="H61" s="59" t="s">
        <v>87</v>
      </c>
      <c r="I61" s="59" t="s">
        <v>85</v>
      </c>
      <c r="J61" s="59" t="s">
        <v>105</v>
      </c>
      <c r="K61" s="59" t="s">
        <v>87</v>
      </c>
      <c r="L61" s="59" t="s">
        <v>85</v>
      </c>
      <c r="M61" s="59" t="s">
        <v>80</v>
      </c>
      <c r="N61" s="59" t="s">
        <v>80</v>
      </c>
      <c r="O61" s="59" t="s">
        <v>80</v>
      </c>
      <c r="P61" s="59" t="s">
        <v>80</v>
      </c>
      <c r="Q61" s="59" t="s">
        <v>80</v>
      </c>
      <c r="R61" s="59" t="s">
        <v>81</v>
      </c>
      <c r="S61" s="59" t="s">
        <v>81</v>
      </c>
      <c r="T61" s="59" t="s">
        <v>80</v>
      </c>
      <c r="U61" s="59" t="s">
        <v>80</v>
      </c>
      <c r="V61" s="59" t="s">
        <v>80</v>
      </c>
      <c r="W61" s="59" t="s">
        <v>81</v>
      </c>
      <c r="X61" s="59" t="s">
        <v>81</v>
      </c>
      <c r="Y61" s="59" t="s">
        <v>80</v>
      </c>
      <c r="Z61" s="59" t="s">
        <v>80</v>
      </c>
      <c r="AA61" s="59" t="s">
        <v>80</v>
      </c>
      <c r="AB61" s="59" t="s">
        <v>81</v>
      </c>
      <c r="AC61" s="59" t="s">
        <v>81</v>
      </c>
      <c r="AD61" s="59" t="s">
        <v>80</v>
      </c>
      <c r="AE61" s="59" t="s">
        <v>80</v>
      </c>
      <c r="AF61" s="59" t="s">
        <v>80</v>
      </c>
      <c r="AG61" s="59" t="s">
        <v>81</v>
      </c>
      <c r="AH61" s="59" t="s">
        <v>81</v>
      </c>
      <c r="AI61" s="59" t="s">
        <v>80</v>
      </c>
      <c r="AJ61" s="59" t="s">
        <v>80</v>
      </c>
      <c r="AK61" s="59" t="s">
        <v>80</v>
      </c>
      <c r="AL61" s="59" t="s">
        <v>81</v>
      </c>
      <c r="AM61" s="59" t="s">
        <v>81</v>
      </c>
      <c r="AN61" s="59" t="s">
        <v>80</v>
      </c>
      <c r="AO61" s="59" t="s">
        <v>80</v>
      </c>
      <c r="AP61" s="59" t="s">
        <v>80</v>
      </c>
      <c r="AQ61" s="59" t="s">
        <v>81</v>
      </c>
      <c r="AR61" s="59" t="s">
        <v>81</v>
      </c>
      <c r="AS61" s="60" t="s">
        <v>80</v>
      </c>
    </row>
    <row r="62" spans="1:45">
      <c r="A62" s="57" t="s">
        <v>1380</v>
      </c>
      <c r="B62" s="57" t="s">
        <v>183</v>
      </c>
      <c r="C62" s="57" t="s">
        <v>184</v>
      </c>
      <c r="D62" s="57" t="s">
        <v>75</v>
      </c>
      <c r="E62" s="57" t="s">
        <v>114</v>
      </c>
      <c r="F62" s="57" t="s">
        <v>76</v>
      </c>
      <c r="G62" s="57" t="s">
        <v>115</v>
      </c>
      <c r="H62" s="57" t="s">
        <v>99</v>
      </c>
      <c r="I62" s="57" t="s">
        <v>116</v>
      </c>
      <c r="J62" s="57" t="s">
        <v>115</v>
      </c>
      <c r="K62" s="57" t="s">
        <v>99</v>
      </c>
      <c r="L62" s="57" t="s">
        <v>116</v>
      </c>
      <c r="M62" s="57" t="s">
        <v>80</v>
      </c>
      <c r="N62" s="57" t="s">
        <v>80</v>
      </c>
      <c r="O62" s="57" t="s">
        <v>80</v>
      </c>
      <c r="P62" s="57" t="s">
        <v>80</v>
      </c>
      <c r="Q62" s="57" t="s">
        <v>80</v>
      </c>
      <c r="R62" s="57" t="s">
        <v>81</v>
      </c>
      <c r="S62" s="57" t="s">
        <v>81</v>
      </c>
      <c r="T62" s="57" t="s">
        <v>80</v>
      </c>
      <c r="U62" s="57" t="s">
        <v>80</v>
      </c>
      <c r="V62" s="57" t="s">
        <v>80</v>
      </c>
      <c r="W62" s="57" t="s">
        <v>81</v>
      </c>
      <c r="X62" s="57" t="s">
        <v>81</v>
      </c>
      <c r="Y62" s="57" t="s">
        <v>80</v>
      </c>
      <c r="Z62" s="57" t="s">
        <v>80</v>
      </c>
      <c r="AA62" s="57" t="s">
        <v>80</v>
      </c>
      <c r="AB62" s="57" t="s">
        <v>81</v>
      </c>
      <c r="AC62" s="57" t="s">
        <v>81</v>
      </c>
      <c r="AD62" s="57" t="s">
        <v>80</v>
      </c>
      <c r="AE62" s="57" t="s">
        <v>80</v>
      </c>
      <c r="AF62" s="57" t="s">
        <v>80</v>
      </c>
      <c r="AG62" s="57" t="s">
        <v>81</v>
      </c>
      <c r="AH62" s="57" t="s">
        <v>81</v>
      </c>
      <c r="AI62" s="57" t="s">
        <v>80</v>
      </c>
      <c r="AJ62" s="57" t="s">
        <v>80</v>
      </c>
      <c r="AK62" s="57" t="s">
        <v>80</v>
      </c>
      <c r="AL62" s="57" t="s">
        <v>81</v>
      </c>
      <c r="AM62" s="57" t="s">
        <v>81</v>
      </c>
      <c r="AN62" s="57" t="s">
        <v>80</v>
      </c>
      <c r="AO62" s="57" t="s">
        <v>80</v>
      </c>
      <c r="AP62" s="57" t="s">
        <v>80</v>
      </c>
      <c r="AQ62" s="57" t="s">
        <v>81</v>
      </c>
      <c r="AR62" s="57" t="s">
        <v>81</v>
      </c>
      <c r="AS62" s="58" t="s">
        <v>80</v>
      </c>
    </row>
    <row r="63" spans="1:45">
      <c r="A63" s="59" t="s">
        <v>1380</v>
      </c>
      <c r="B63" s="59" t="s">
        <v>185</v>
      </c>
      <c r="C63" s="59" t="s">
        <v>186</v>
      </c>
      <c r="D63" s="59" t="s">
        <v>75</v>
      </c>
      <c r="E63" s="59" t="s">
        <v>108</v>
      </c>
      <c r="F63" s="59" t="s">
        <v>76</v>
      </c>
      <c r="G63" s="59" t="s">
        <v>85</v>
      </c>
      <c r="H63" s="59" t="s">
        <v>432</v>
      </c>
      <c r="I63" s="59" t="s">
        <v>75</v>
      </c>
      <c r="J63" s="59" t="s">
        <v>85</v>
      </c>
      <c r="K63" s="59" t="s">
        <v>432</v>
      </c>
      <c r="L63" s="59" t="s">
        <v>75</v>
      </c>
      <c r="M63" s="59" t="s">
        <v>80</v>
      </c>
      <c r="N63" s="59" t="s">
        <v>80</v>
      </c>
      <c r="O63" s="59" t="s">
        <v>80</v>
      </c>
      <c r="P63" s="59" t="s">
        <v>394</v>
      </c>
      <c r="Q63" s="59" t="s">
        <v>82</v>
      </c>
      <c r="R63" s="59" t="s">
        <v>1395</v>
      </c>
      <c r="S63" s="59" t="s">
        <v>1417</v>
      </c>
      <c r="T63" s="59" t="s">
        <v>432</v>
      </c>
      <c r="U63" s="59" t="s">
        <v>394</v>
      </c>
      <c r="V63" s="59" t="s">
        <v>82</v>
      </c>
      <c r="W63" s="59" t="s">
        <v>1395</v>
      </c>
      <c r="X63" s="59" t="s">
        <v>1417</v>
      </c>
      <c r="Y63" s="59" t="s">
        <v>432</v>
      </c>
      <c r="Z63" s="59" t="s">
        <v>394</v>
      </c>
      <c r="AA63" s="59" t="s">
        <v>82</v>
      </c>
      <c r="AB63" s="59" t="s">
        <v>1395</v>
      </c>
      <c r="AC63" s="59" t="s">
        <v>1417</v>
      </c>
      <c r="AD63" s="59" t="s">
        <v>432</v>
      </c>
      <c r="AE63" s="59" t="s">
        <v>394</v>
      </c>
      <c r="AF63" s="59" t="s">
        <v>82</v>
      </c>
      <c r="AG63" s="59" t="s">
        <v>1395</v>
      </c>
      <c r="AH63" s="59" t="s">
        <v>1417</v>
      </c>
      <c r="AI63" s="59" t="s">
        <v>432</v>
      </c>
      <c r="AJ63" s="59" t="s">
        <v>80</v>
      </c>
      <c r="AK63" s="59" t="s">
        <v>80</v>
      </c>
      <c r="AL63" s="59" t="s">
        <v>81</v>
      </c>
      <c r="AM63" s="59" t="s">
        <v>81</v>
      </c>
      <c r="AN63" s="59" t="s">
        <v>80</v>
      </c>
      <c r="AO63" s="59" t="s">
        <v>80</v>
      </c>
      <c r="AP63" s="59" t="s">
        <v>80</v>
      </c>
      <c r="AQ63" s="59" t="s">
        <v>81</v>
      </c>
      <c r="AR63" s="59" t="s">
        <v>81</v>
      </c>
      <c r="AS63" s="60" t="s">
        <v>80</v>
      </c>
    </row>
    <row r="64" spans="1:45">
      <c r="A64" s="57" t="s">
        <v>1380</v>
      </c>
      <c r="B64" s="57" t="s">
        <v>188</v>
      </c>
      <c r="C64" s="57" t="s">
        <v>189</v>
      </c>
      <c r="D64" s="57" t="s">
        <v>75</v>
      </c>
      <c r="E64" s="57" t="s">
        <v>1384</v>
      </c>
      <c r="F64" s="57" t="s">
        <v>76</v>
      </c>
      <c r="G64" s="57" t="s">
        <v>75</v>
      </c>
      <c r="H64" s="57" t="s">
        <v>256</v>
      </c>
      <c r="I64" s="57" t="s">
        <v>79</v>
      </c>
      <c r="J64" s="57" t="s">
        <v>128</v>
      </c>
      <c r="K64" s="57" t="s">
        <v>218</v>
      </c>
      <c r="L64" s="57" t="s">
        <v>79</v>
      </c>
      <c r="M64" s="57" t="s">
        <v>82</v>
      </c>
      <c r="N64" s="57" t="s">
        <v>79</v>
      </c>
      <c r="O64" s="57" t="s">
        <v>79</v>
      </c>
      <c r="P64" s="57" t="s">
        <v>80</v>
      </c>
      <c r="Q64" s="57" t="s">
        <v>80</v>
      </c>
      <c r="R64" s="57" t="s">
        <v>81</v>
      </c>
      <c r="S64" s="57" t="s">
        <v>81</v>
      </c>
      <c r="T64" s="57" t="s">
        <v>80</v>
      </c>
      <c r="U64" s="57" t="s">
        <v>80</v>
      </c>
      <c r="V64" s="57" t="s">
        <v>80</v>
      </c>
      <c r="W64" s="57" t="s">
        <v>81</v>
      </c>
      <c r="X64" s="57" t="s">
        <v>81</v>
      </c>
      <c r="Y64" s="57" t="s">
        <v>80</v>
      </c>
      <c r="Z64" s="57" t="s">
        <v>80</v>
      </c>
      <c r="AA64" s="57" t="s">
        <v>80</v>
      </c>
      <c r="AB64" s="57" t="s">
        <v>81</v>
      </c>
      <c r="AC64" s="57" t="s">
        <v>81</v>
      </c>
      <c r="AD64" s="57" t="s">
        <v>80</v>
      </c>
      <c r="AE64" s="57" t="s">
        <v>80</v>
      </c>
      <c r="AF64" s="57" t="s">
        <v>80</v>
      </c>
      <c r="AG64" s="57" t="s">
        <v>81</v>
      </c>
      <c r="AH64" s="57" t="s">
        <v>81</v>
      </c>
      <c r="AI64" s="57" t="s">
        <v>80</v>
      </c>
      <c r="AJ64" s="57" t="s">
        <v>80</v>
      </c>
      <c r="AK64" s="57" t="s">
        <v>80</v>
      </c>
      <c r="AL64" s="57" t="s">
        <v>81</v>
      </c>
      <c r="AM64" s="57" t="s">
        <v>81</v>
      </c>
      <c r="AN64" s="57" t="s">
        <v>80</v>
      </c>
      <c r="AO64" s="57" t="s">
        <v>80</v>
      </c>
      <c r="AP64" s="57" t="s">
        <v>80</v>
      </c>
      <c r="AQ64" s="57" t="s">
        <v>81</v>
      </c>
      <c r="AR64" s="57" t="s">
        <v>81</v>
      </c>
      <c r="AS64" s="58" t="s">
        <v>80</v>
      </c>
    </row>
    <row r="65" spans="1:45">
      <c r="A65" s="59" t="s">
        <v>1380</v>
      </c>
      <c r="B65" s="59" t="s">
        <v>191</v>
      </c>
      <c r="C65" s="59" t="s">
        <v>192</v>
      </c>
      <c r="D65" s="59" t="s">
        <v>75</v>
      </c>
      <c r="E65" s="59" t="s">
        <v>176</v>
      </c>
      <c r="F65" s="59" t="s">
        <v>76</v>
      </c>
      <c r="G65" s="59" t="s">
        <v>431</v>
      </c>
      <c r="H65" s="59" t="s">
        <v>308</v>
      </c>
      <c r="I65" s="59" t="s">
        <v>79</v>
      </c>
      <c r="J65" s="59" t="s">
        <v>431</v>
      </c>
      <c r="K65" s="59" t="s">
        <v>308</v>
      </c>
      <c r="L65" s="59" t="s">
        <v>79</v>
      </c>
      <c r="M65" s="59" t="s">
        <v>80</v>
      </c>
      <c r="N65" s="59" t="s">
        <v>80</v>
      </c>
      <c r="O65" s="59" t="s">
        <v>80</v>
      </c>
      <c r="P65" s="59" t="s">
        <v>80</v>
      </c>
      <c r="Q65" s="59" t="s">
        <v>80</v>
      </c>
      <c r="R65" s="59" t="s">
        <v>81</v>
      </c>
      <c r="S65" s="59" t="s">
        <v>81</v>
      </c>
      <c r="T65" s="59" t="s">
        <v>80</v>
      </c>
      <c r="U65" s="59" t="s">
        <v>80</v>
      </c>
      <c r="V65" s="59" t="s">
        <v>80</v>
      </c>
      <c r="W65" s="59" t="s">
        <v>81</v>
      </c>
      <c r="X65" s="59" t="s">
        <v>81</v>
      </c>
      <c r="Y65" s="59" t="s">
        <v>80</v>
      </c>
      <c r="Z65" s="59" t="s">
        <v>80</v>
      </c>
      <c r="AA65" s="59" t="s">
        <v>80</v>
      </c>
      <c r="AB65" s="59" t="s">
        <v>81</v>
      </c>
      <c r="AC65" s="59" t="s">
        <v>81</v>
      </c>
      <c r="AD65" s="59" t="s">
        <v>80</v>
      </c>
      <c r="AE65" s="59" t="s">
        <v>80</v>
      </c>
      <c r="AF65" s="59" t="s">
        <v>80</v>
      </c>
      <c r="AG65" s="59" t="s">
        <v>81</v>
      </c>
      <c r="AH65" s="59" t="s">
        <v>81</v>
      </c>
      <c r="AI65" s="59" t="s">
        <v>80</v>
      </c>
      <c r="AJ65" s="59" t="s">
        <v>80</v>
      </c>
      <c r="AK65" s="59" t="s">
        <v>80</v>
      </c>
      <c r="AL65" s="59" t="s">
        <v>81</v>
      </c>
      <c r="AM65" s="59" t="s">
        <v>81</v>
      </c>
      <c r="AN65" s="59" t="s">
        <v>80</v>
      </c>
      <c r="AO65" s="59" t="s">
        <v>80</v>
      </c>
      <c r="AP65" s="59" t="s">
        <v>80</v>
      </c>
      <c r="AQ65" s="59" t="s">
        <v>81</v>
      </c>
      <c r="AR65" s="59" t="s">
        <v>81</v>
      </c>
      <c r="AS65" s="60" t="s">
        <v>80</v>
      </c>
    </row>
    <row r="66" spans="1:45">
      <c r="A66" s="57" t="s">
        <v>1380</v>
      </c>
      <c r="B66" s="57" t="s">
        <v>193</v>
      </c>
      <c r="C66" s="57" t="s">
        <v>194</v>
      </c>
      <c r="D66" s="57" t="s">
        <v>75</v>
      </c>
      <c r="E66" s="57" t="s">
        <v>452</v>
      </c>
      <c r="F66" s="57" t="s">
        <v>76</v>
      </c>
      <c r="G66" s="57" t="s">
        <v>105</v>
      </c>
      <c r="H66" s="57" t="s">
        <v>195</v>
      </c>
      <c r="I66" s="57" t="s">
        <v>88</v>
      </c>
      <c r="J66" s="57" t="s">
        <v>105</v>
      </c>
      <c r="K66" s="57" t="s">
        <v>195</v>
      </c>
      <c r="L66" s="57" t="s">
        <v>88</v>
      </c>
      <c r="M66" s="57" t="s">
        <v>80</v>
      </c>
      <c r="N66" s="57" t="s">
        <v>80</v>
      </c>
      <c r="O66" s="57" t="s">
        <v>80</v>
      </c>
      <c r="P66" s="57" t="s">
        <v>80</v>
      </c>
      <c r="Q66" s="57" t="s">
        <v>80</v>
      </c>
      <c r="R66" s="57" t="s">
        <v>81</v>
      </c>
      <c r="S66" s="57" t="s">
        <v>81</v>
      </c>
      <c r="T66" s="57" t="s">
        <v>80</v>
      </c>
      <c r="U66" s="57" t="s">
        <v>80</v>
      </c>
      <c r="V66" s="57" t="s">
        <v>80</v>
      </c>
      <c r="W66" s="57" t="s">
        <v>81</v>
      </c>
      <c r="X66" s="57" t="s">
        <v>81</v>
      </c>
      <c r="Y66" s="57" t="s">
        <v>80</v>
      </c>
      <c r="Z66" s="57" t="s">
        <v>80</v>
      </c>
      <c r="AA66" s="57" t="s">
        <v>80</v>
      </c>
      <c r="AB66" s="57" t="s">
        <v>81</v>
      </c>
      <c r="AC66" s="57" t="s">
        <v>81</v>
      </c>
      <c r="AD66" s="57" t="s">
        <v>80</v>
      </c>
      <c r="AE66" s="57" t="s">
        <v>80</v>
      </c>
      <c r="AF66" s="57" t="s">
        <v>80</v>
      </c>
      <c r="AG66" s="57" t="s">
        <v>81</v>
      </c>
      <c r="AH66" s="57" t="s">
        <v>81</v>
      </c>
      <c r="AI66" s="57" t="s">
        <v>80</v>
      </c>
      <c r="AJ66" s="57" t="s">
        <v>80</v>
      </c>
      <c r="AK66" s="57" t="s">
        <v>80</v>
      </c>
      <c r="AL66" s="57" t="s">
        <v>81</v>
      </c>
      <c r="AM66" s="57" t="s">
        <v>81</v>
      </c>
      <c r="AN66" s="57" t="s">
        <v>80</v>
      </c>
      <c r="AO66" s="57" t="s">
        <v>80</v>
      </c>
      <c r="AP66" s="57" t="s">
        <v>80</v>
      </c>
      <c r="AQ66" s="57" t="s">
        <v>81</v>
      </c>
      <c r="AR66" s="57" t="s">
        <v>81</v>
      </c>
      <c r="AS66" s="58" t="s">
        <v>80</v>
      </c>
    </row>
    <row r="67" spans="1:45">
      <c r="A67" s="59" t="s">
        <v>1380</v>
      </c>
      <c r="B67" s="59" t="s">
        <v>436</v>
      </c>
      <c r="C67" s="59" t="s">
        <v>437</v>
      </c>
      <c r="D67" s="59" t="s">
        <v>75</v>
      </c>
      <c r="E67" s="59" t="s">
        <v>303</v>
      </c>
      <c r="F67" s="59" t="s">
        <v>76</v>
      </c>
      <c r="G67" s="59" t="s">
        <v>115</v>
      </c>
      <c r="H67" s="59" t="s">
        <v>195</v>
      </c>
      <c r="I67" s="59" t="s">
        <v>75</v>
      </c>
      <c r="J67" s="59" t="s">
        <v>115</v>
      </c>
      <c r="K67" s="59" t="s">
        <v>195</v>
      </c>
      <c r="L67" s="59" t="s">
        <v>75</v>
      </c>
      <c r="M67" s="59" t="s">
        <v>80</v>
      </c>
      <c r="N67" s="59" t="s">
        <v>80</v>
      </c>
      <c r="O67" s="59" t="s">
        <v>80</v>
      </c>
      <c r="P67" s="59" t="s">
        <v>80</v>
      </c>
      <c r="Q67" s="59" t="s">
        <v>80</v>
      </c>
      <c r="R67" s="59" t="s">
        <v>81</v>
      </c>
      <c r="S67" s="59" t="s">
        <v>81</v>
      </c>
      <c r="T67" s="59" t="s">
        <v>80</v>
      </c>
      <c r="U67" s="59" t="s">
        <v>80</v>
      </c>
      <c r="V67" s="59" t="s">
        <v>80</v>
      </c>
      <c r="W67" s="59" t="s">
        <v>81</v>
      </c>
      <c r="X67" s="59" t="s">
        <v>81</v>
      </c>
      <c r="Y67" s="59" t="s">
        <v>80</v>
      </c>
      <c r="Z67" s="59" t="s">
        <v>80</v>
      </c>
      <c r="AA67" s="59" t="s">
        <v>80</v>
      </c>
      <c r="AB67" s="59" t="s">
        <v>81</v>
      </c>
      <c r="AC67" s="59" t="s">
        <v>81</v>
      </c>
      <c r="AD67" s="59" t="s">
        <v>80</v>
      </c>
      <c r="AE67" s="59" t="s">
        <v>80</v>
      </c>
      <c r="AF67" s="59" t="s">
        <v>80</v>
      </c>
      <c r="AG67" s="59" t="s">
        <v>81</v>
      </c>
      <c r="AH67" s="59" t="s">
        <v>81</v>
      </c>
      <c r="AI67" s="59" t="s">
        <v>80</v>
      </c>
      <c r="AJ67" s="59" t="s">
        <v>80</v>
      </c>
      <c r="AK67" s="59" t="s">
        <v>80</v>
      </c>
      <c r="AL67" s="59" t="s">
        <v>81</v>
      </c>
      <c r="AM67" s="59" t="s">
        <v>81</v>
      </c>
      <c r="AN67" s="59" t="s">
        <v>80</v>
      </c>
      <c r="AO67" s="59" t="s">
        <v>80</v>
      </c>
      <c r="AP67" s="59" t="s">
        <v>80</v>
      </c>
      <c r="AQ67" s="59" t="s">
        <v>81</v>
      </c>
      <c r="AR67" s="59" t="s">
        <v>81</v>
      </c>
      <c r="AS67" s="60" t="s">
        <v>80</v>
      </c>
    </row>
    <row r="68" spans="1:45">
      <c r="A68" s="57" t="s">
        <v>1380</v>
      </c>
      <c r="B68" s="57" t="s">
        <v>26</v>
      </c>
      <c r="C68" s="57" t="s">
        <v>25</v>
      </c>
      <c r="D68" s="57" t="s">
        <v>103</v>
      </c>
      <c r="E68" s="57" t="s">
        <v>303</v>
      </c>
      <c r="F68" s="57" t="s">
        <v>76</v>
      </c>
      <c r="G68" s="57" t="s">
        <v>90</v>
      </c>
      <c r="H68" s="57" t="s">
        <v>99</v>
      </c>
      <c r="I68" s="57" t="s">
        <v>103</v>
      </c>
      <c r="J68" s="57" t="s">
        <v>90</v>
      </c>
      <c r="K68" s="57" t="s">
        <v>99</v>
      </c>
      <c r="L68" s="57" t="s">
        <v>103</v>
      </c>
      <c r="M68" s="57" t="s">
        <v>80</v>
      </c>
      <c r="N68" s="57" t="s">
        <v>80</v>
      </c>
      <c r="O68" s="57" t="s">
        <v>80</v>
      </c>
      <c r="P68" s="57" t="s">
        <v>80</v>
      </c>
      <c r="Q68" s="57" t="s">
        <v>80</v>
      </c>
      <c r="R68" s="57" t="s">
        <v>81</v>
      </c>
      <c r="S68" s="57" t="s">
        <v>81</v>
      </c>
      <c r="T68" s="57" t="s">
        <v>80</v>
      </c>
      <c r="U68" s="57" t="s">
        <v>80</v>
      </c>
      <c r="V68" s="57" t="s">
        <v>80</v>
      </c>
      <c r="W68" s="57" t="s">
        <v>81</v>
      </c>
      <c r="X68" s="57" t="s">
        <v>81</v>
      </c>
      <c r="Y68" s="57" t="s">
        <v>80</v>
      </c>
      <c r="Z68" s="57" t="s">
        <v>80</v>
      </c>
      <c r="AA68" s="57" t="s">
        <v>80</v>
      </c>
      <c r="AB68" s="57" t="s">
        <v>81</v>
      </c>
      <c r="AC68" s="57" t="s">
        <v>81</v>
      </c>
      <c r="AD68" s="57" t="s">
        <v>80</v>
      </c>
      <c r="AE68" s="57" t="s">
        <v>80</v>
      </c>
      <c r="AF68" s="57" t="s">
        <v>80</v>
      </c>
      <c r="AG68" s="57" t="s">
        <v>81</v>
      </c>
      <c r="AH68" s="57" t="s">
        <v>81</v>
      </c>
      <c r="AI68" s="57" t="s">
        <v>80</v>
      </c>
      <c r="AJ68" s="57" t="s">
        <v>80</v>
      </c>
      <c r="AK68" s="57" t="s">
        <v>80</v>
      </c>
      <c r="AL68" s="57" t="s">
        <v>81</v>
      </c>
      <c r="AM68" s="57" t="s">
        <v>81</v>
      </c>
      <c r="AN68" s="57" t="s">
        <v>80</v>
      </c>
      <c r="AO68" s="57" t="s">
        <v>80</v>
      </c>
      <c r="AP68" s="57" t="s">
        <v>80</v>
      </c>
      <c r="AQ68" s="57" t="s">
        <v>81</v>
      </c>
      <c r="AR68" s="57" t="s">
        <v>81</v>
      </c>
      <c r="AS68" s="58" t="s">
        <v>80</v>
      </c>
    </row>
    <row r="69" spans="1:45">
      <c r="A69" s="59" t="s">
        <v>1380</v>
      </c>
      <c r="B69" s="59" t="s">
        <v>1418</v>
      </c>
      <c r="C69" s="59" t="s">
        <v>795</v>
      </c>
      <c r="D69" s="59" t="s">
        <v>75</v>
      </c>
      <c r="E69" s="59" t="s">
        <v>108</v>
      </c>
      <c r="F69" s="59" t="s">
        <v>76</v>
      </c>
      <c r="G69" s="59" t="s">
        <v>90</v>
      </c>
      <c r="H69" s="59" t="s">
        <v>91</v>
      </c>
      <c r="I69" s="59" t="s">
        <v>75</v>
      </c>
      <c r="J69" s="59" t="s">
        <v>90</v>
      </c>
      <c r="K69" s="59" t="s">
        <v>91</v>
      </c>
      <c r="L69" s="59" t="s">
        <v>75</v>
      </c>
      <c r="M69" s="59" t="s">
        <v>80</v>
      </c>
      <c r="N69" s="59" t="s">
        <v>80</v>
      </c>
      <c r="O69" s="59" t="s">
        <v>80</v>
      </c>
      <c r="P69" s="59" t="s">
        <v>80</v>
      </c>
      <c r="Q69" s="59" t="s">
        <v>80</v>
      </c>
      <c r="R69" s="59" t="s">
        <v>81</v>
      </c>
      <c r="S69" s="59" t="s">
        <v>81</v>
      </c>
      <c r="T69" s="59" t="s">
        <v>80</v>
      </c>
      <c r="U69" s="59" t="s">
        <v>80</v>
      </c>
      <c r="V69" s="59" t="s">
        <v>80</v>
      </c>
      <c r="W69" s="59" t="s">
        <v>81</v>
      </c>
      <c r="X69" s="59" t="s">
        <v>81</v>
      </c>
      <c r="Y69" s="59" t="s">
        <v>80</v>
      </c>
      <c r="Z69" s="59" t="s">
        <v>80</v>
      </c>
      <c r="AA69" s="59" t="s">
        <v>80</v>
      </c>
      <c r="AB69" s="59" t="s">
        <v>81</v>
      </c>
      <c r="AC69" s="59" t="s">
        <v>81</v>
      </c>
      <c r="AD69" s="59" t="s">
        <v>80</v>
      </c>
      <c r="AE69" s="59" t="s">
        <v>80</v>
      </c>
      <c r="AF69" s="59" t="s">
        <v>80</v>
      </c>
      <c r="AG69" s="59" t="s">
        <v>81</v>
      </c>
      <c r="AH69" s="59" t="s">
        <v>81</v>
      </c>
      <c r="AI69" s="59" t="s">
        <v>80</v>
      </c>
      <c r="AJ69" s="59" t="s">
        <v>80</v>
      </c>
      <c r="AK69" s="59" t="s">
        <v>80</v>
      </c>
      <c r="AL69" s="59" t="s">
        <v>81</v>
      </c>
      <c r="AM69" s="59" t="s">
        <v>81</v>
      </c>
      <c r="AN69" s="59" t="s">
        <v>80</v>
      </c>
      <c r="AO69" s="59" t="s">
        <v>80</v>
      </c>
      <c r="AP69" s="59" t="s">
        <v>80</v>
      </c>
      <c r="AQ69" s="59" t="s">
        <v>81</v>
      </c>
      <c r="AR69" s="59" t="s">
        <v>81</v>
      </c>
      <c r="AS69" s="60" t="s">
        <v>80</v>
      </c>
    </row>
    <row r="70" spans="1:45">
      <c r="A70" s="57" t="s">
        <v>1380</v>
      </c>
      <c r="B70" s="57" t="s">
        <v>438</v>
      </c>
      <c r="C70" s="57" t="s">
        <v>439</v>
      </c>
      <c r="D70" s="57" t="s">
        <v>75</v>
      </c>
      <c r="E70" s="57" t="s">
        <v>111</v>
      </c>
      <c r="F70" s="57" t="s">
        <v>76</v>
      </c>
      <c r="G70" s="57" t="s">
        <v>85</v>
      </c>
      <c r="H70" s="57" t="s">
        <v>399</v>
      </c>
      <c r="I70" s="57" t="s">
        <v>79</v>
      </c>
      <c r="J70" s="57" t="s">
        <v>85</v>
      </c>
      <c r="K70" s="57" t="s">
        <v>399</v>
      </c>
      <c r="L70" s="57" t="s">
        <v>79</v>
      </c>
      <c r="M70" s="57" t="s">
        <v>80</v>
      </c>
      <c r="N70" s="57" t="s">
        <v>80</v>
      </c>
      <c r="O70" s="57" t="s">
        <v>80</v>
      </c>
      <c r="P70" s="57" t="s">
        <v>80</v>
      </c>
      <c r="Q70" s="57" t="s">
        <v>80</v>
      </c>
      <c r="R70" s="57" t="s">
        <v>81</v>
      </c>
      <c r="S70" s="57" t="s">
        <v>81</v>
      </c>
      <c r="T70" s="57" t="s">
        <v>80</v>
      </c>
      <c r="U70" s="57" t="s">
        <v>80</v>
      </c>
      <c r="V70" s="57" t="s">
        <v>80</v>
      </c>
      <c r="W70" s="57" t="s">
        <v>81</v>
      </c>
      <c r="X70" s="57" t="s">
        <v>81</v>
      </c>
      <c r="Y70" s="57" t="s">
        <v>80</v>
      </c>
      <c r="Z70" s="57" t="s">
        <v>80</v>
      </c>
      <c r="AA70" s="57" t="s">
        <v>80</v>
      </c>
      <c r="AB70" s="57" t="s">
        <v>81</v>
      </c>
      <c r="AC70" s="57" t="s">
        <v>81</v>
      </c>
      <c r="AD70" s="57" t="s">
        <v>80</v>
      </c>
      <c r="AE70" s="57" t="s">
        <v>80</v>
      </c>
      <c r="AF70" s="57" t="s">
        <v>80</v>
      </c>
      <c r="AG70" s="57" t="s">
        <v>81</v>
      </c>
      <c r="AH70" s="57" t="s">
        <v>81</v>
      </c>
      <c r="AI70" s="57" t="s">
        <v>80</v>
      </c>
      <c r="AJ70" s="57" t="s">
        <v>80</v>
      </c>
      <c r="AK70" s="57" t="s">
        <v>80</v>
      </c>
      <c r="AL70" s="57" t="s">
        <v>81</v>
      </c>
      <c r="AM70" s="57" t="s">
        <v>81</v>
      </c>
      <c r="AN70" s="57" t="s">
        <v>80</v>
      </c>
      <c r="AO70" s="57" t="s">
        <v>80</v>
      </c>
      <c r="AP70" s="57" t="s">
        <v>80</v>
      </c>
      <c r="AQ70" s="57" t="s">
        <v>81</v>
      </c>
      <c r="AR70" s="57" t="s">
        <v>81</v>
      </c>
      <c r="AS70" s="58" t="s">
        <v>80</v>
      </c>
    </row>
    <row r="71" spans="1:45">
      <c r="A71" s="59" t="s">
        <v>1380</v>
      </c>
      <c r="B71" s="59" t="s">
        <v>1419</v>
      </c>
      <c r="C71" s="59" t="s">
        <v>800</v>
      </c>
      <c r="D71" s="59" t="s">
        <v>75</v>
      </c>
      <c r="E71" s="59" t="s">
        <v>125</v>
      </c>
      <c r="F71" s="59" t="s">
        <v>76</v>
      </c>
      <c r="G71" s="59" t="s">
        <v>90</v>
      </c>
      <c r="H71" s="59" t="s">
        <v>91</v>
      </c>
      <c r="I71" s="59" t="s">
        <v>75</v>
      </c>
      <c r="J71" s="59" t="s">
        <v>90</v>
      </c>
      <c r="K71" s="59" t="s">
        <v>91</v>
      </c>
      <c r="L71" s="59" t="s">
        <v>75</v>
      </c>
      <c r="M71" s="59" t="s">
        <v>80</v>
      </c>
      <c r="N71" s="59" t="s">
        <v>80</v>
      </c>
      <c r="O71" s="59" t="s">
        <v>80</v>
      </c>
      <c r="P71" s="59" t="s">
        <v>80</v>
      </c>
      <c r="Q71" s="59" t="s">
        <v>80</v>
      </c>
      <c r="R71" s="59" t="s">
        <v>81</v>
      </c>
      <c r="S71" s="59" t="s">
        <v>81</v>
      </c>
      <c r="T71" s="59" t="s">
        <v>80</v>
      </c>
      <c r="U71" s="59" t="s">
        <v>80</v>
      </c>
      <c r="V71" s="59" t="s">
        <v>80</v>
      </c>
      <c r="W71" s="59" t="s">
        <v>81</v>
      </c>
      <c r="X71" s="59" t="s">
        <v>81</v>
      </c>
      <c r="Y71" s="59" t="s">
        <v>80</v>
      </c>
      <c r="Z71" s="59" t="s">
        <v>80</v>
      </c>
      <c r="AA71" s="59" t="s">
        <v>80</v>
      </c>
      <c r="AB71" s="59" t="s">
        <v>81</v>
      </c>
      <c r="AC71" s="59" t="s">
        <v>81</v>
      </c>
      <c r="AD71" s="59" t="s">
        <v>80</v>
      </c>
      <c r="AE71" s="59" t="s">
        <v>80</v>
      </c>
      <c r="AF71" s="59" t="s">
        <v>80</v>
      </c>
      <c r="AG71" s="59" t="s">
        <v>81</v>
      </c>
      <c r="AH71" s="59" t="s">
        <v>81</v>
      </c>
      <c r="AI71" s="59" t="s">
        <v>80</v>
      </c>
      <c r="AJ71" s="59" t="s">
        <v>80</v>
      </c>
      <c r="AK71" s="59" t="s">
        <v>80</v>
      </c>
      <c r="AL71" s="59" t="s">
        <v>81</v>
      </c>
      <c r="AM71" s="59" t="s">
        <v>81</v>
      </c>
      <c r="AN71" s="59" t="s">
        <v>80</v>
      </c>
      <c r="AO71" s="59" t="s">
        <v>80</v>
      </c>
      <c r="AP71" s="59" t="s">
        <v>80</v>
      </c>
      <c r="AQ71" s="59" t="s">
        <v>81</v>
      </c>
      <c r="AR71" s="59" t="s">
        <v>81</v>
      </c>
      <c r="AS71" s="60" t="s">
        <v>80</v>
      </c>
    </row>
    <row r="72" spans="1:45">
      <c r="A72" s="57" t="s">
        <v>1380</v>
      </c>
      <c r="B72" s="57" t="s">
        <v>440</v>
      </c>
      <c r="C72" s="57" t="s">
        <v>441</v>
      </c>
      <c r="D72" s="57" t="s">
        <v>75</v>
      </c>
      <c r="E72" s="57" t="s">
        <v>108</v>
      </c>
      <c r="F72" s="57" t="s">
        <v>76</v>
      </c>
      <c r="G72" s="57" t="s">
        <v>90</v>
      </c>
      <c r="H72" s="57" t="s">
        <v>103</v>
      </c>
      <c r="I72" s="57" t="s">
        <v>116</v>
      </c>
      <c r="J72" s="57" t="s">
        <v>90</v>
      </c>
      <c r="K72" s="57" t="s">
        <v>103</v>
      </c>
      <c r="L72" s="57" t="s">
        <v>116</v>
      </c>
      <c r="M72" s="57" t="s">
        <v>80</v>
      </c>
      <c r="N72" s="57" t="s">
        <v>80</v>
      </c>
      <c r="O72" s="57" t="s">
        <v>80</v>
      </c>
      <c r="P72" s="57" t="s">
        <v>80</v>
      </c>
      <c r="Q72" s="57" t="s">
        <v>80</v>
      </c>
      <c r="R72" s="57" t="s">
        <v>81</v>
      </c>
      <c r="S72" s="57" t="s">
        <v>81</v>
      </c>
      <c r="T72" s="57" t="s">
        <v>80</v>
      </c>
      <c r="U72" s="57" t="s">
        <v>80</v>
      </c>
      <c r="V72" s="57" t="s">
        <v>80</v>
      </c>
      <c r="W72" s="57" t="s">
        <v>81</v>
      </c>
      <c r="X72" s="57" t="s">
        <v>81</v>
      </c>
      <c r="Y72" s="57" t="s">
        <v>80</v>
      </c>
      <c r="Z72" s="57" t="s">
        <v>80</v>
      </c>
      <c r="AA72" s="57" t="s">
        <v>80</v>
      </c>
      <c r="AB72" s="57" t="s">
        <v>81</v>
      </c>
      <c r="AC72" s="57" t="s">
        <v>81</v>
      </c>
      <c r="AD72" s="57" t="s">
        <v>80</v>
      </c>
      <c r="AE72" s="57" t="s">
        <v>80</v>
      </c>
      <c r="AF72" s="57" t="s">
        <v>80</v>
      </c>
      <c r="AG72" s="57" t="s">
        <v>81</v>
      </c>
      <c r="AH72" s="57" t="s">
        <v>81</v>
      </c>
      <c r="AI72" s="57" t="s">
        <v>80</v>
      </c>
      <c r="AJ72" s="57" t="s">
        <v>80</v>
      </c>
      <c r="AK72" s="57" t="s">
        <v>80</v>
      </c>
      <c r="AL72" s="57" t="s">
        <v>81</v>
      </c>
      <c r="AM72" s="57" t="s">
        <v>81</v>
      </c>
      <c r="AN72" s="57" t="s">
        <v>80</v>
      </c>
      <c r="AO72" s="57" t="s">
        <v>80</v>
      </c>
      <c r="AP72" s="57" t="s">
        <v>80</v>
      </c>
      <c r="AQ72" s="57" t="s">
        <v>81</v>
      </c>
      <c r="AR72" s="57" t="s">
        <v>81</v>
      </c>
      <c r="AS72" s="58" t="s">
        <v>80</v>
      </c>
    </row>
    <row r="73" spans="1:45">
      <c r="A73" s="59" t="s">
        <v>1380</v>
      </c>
      <c r="B73" s="59" t="s">
        <v>196</v>
      </c>
      <c r="C73" s="59" t="s">
        <v>197</v>
      </c>
      <c r="D73" s="59" t="s">
        <v>75</v>
      </c>
      <c r="E73" s="59" t="s">
        <v>224</v>
      </c>
      <c r="F73" s="59" t="s">
        <v>76</v>
      </c>
      <c r="G73" s="59" t="s">
        <v>116</v>
      </c>
      <c r="H73" s="59" t="s">
        <v>227</v>
      </c>
      <c r="I73" s="59" t="s">
        <v>79</v>
      </c>
      <c r="J73" s="59" t="s">
        <v>116</v>
      </c>
      <c r="K73" s="59" t="s">
        <v>227</v>
      </c>
      <c r="L73" s="59" t="s">
        <v>79</v>
      </c>
      <c r="M73" s="59" t="s">
        <v>80</v>
      </c>
      <c r="N73" s="59" t="s">
        <v>80</v>
      </c>
      <c r="O73" s="59" t="s">
        <v>80</v>
      </c>
      <c r="P73" s="59" t="s">
        <v>80</v>
      </c>
      <c r="Q73" s="59" t="s">
        <v>80</v>
      </c>
      <c r="R73" s="59" t="s">
        <v>81</v>
      </c>
      <c r="S73" s="59" t="s">
        <v>81</v>
      </c>
      <c r="T73" s="59" t="s">
        <v>80</v>
      </c>
      <c r="U73" s="59" t="s">
        <v>80</v>
      </c>
      <c r="V73" s="59" t="s">
        <v>80</v>
      </c>
      <c r="W73" s="59" t="s">
        <v>81</v>
      </c>
      <c r="X73" s="59" t="s">
        <v>81</v>
      </c>
      <c r="Y73" s="59" t="s">
        <v>80</v>
      </c>
      <c r="Z73" s="59" t="s">
        <v>80</v>
      </c>
      <c r="AA73" s="59" t="s">
        <v>80</v>
      </c>
      <c r="AB73" s="59" t="s">
        <v>81</v>
      </c>
      <c r="AC73" s="59" t="s">
        <v>81</v>
      </c>
      <c r="AD73" s="59" t="s">
        <v>80</v>
      </c>
      <c r="AE73" s="59" t="s">
        <v>80</v>
      </c>
      <c r="AF73" s="59" t="s">
        <v>80</v>
      </c>
      <c r="AG73" s="59" t="s">
        <v>81</v>
      </c>
      <c r="AH73" s="59" t="s">
        <v>81</v>
      </c>
      <c r="AI73" s="59" t="s">
        <v>80</v>
      </c>
      <c r="AJ73" s="59" t="s">
        <v>80</v>
      </c>
      <c r="AK73" s="59" t="s">
        <v>80</v>
      </c>
      <c r="AL73" s="59" t="s">
        <v>81</v>
      </c>
      <c r="AM73" s="59" t="s">
        <v>81</v>
      </c>
      <c r="AN73" s="59" t="s">
        <v>80</v>
      </c>
      <c r="AO73" s="59" t="s">
        <v>80</v>
      </c>
      <c r="AP73" s="59" t="s">
        <v>80</v>
      </c>
      <c r="AQ73" s="59" t="s">
        <v>81</v>
      </c>
      <c r="AR73" s="59" t="s">
        <v>81</v>
      </c>
      <c r="AS73" s="60" t="s">
        <v>80</v>
      </c>
    </row>
    <row r="74" spans="1:45">
      <c r="A74" s="57" t="s">
        <v>1380</v>
      </c>
      <c r="B74" s="57" t="s">
        <v>199</v>
      </c>
      <c r="C74" s="57" t="s">
        <v>200</v>
      </c>
      <c r="D74" s="57" t="s">
        <v>75</v>
      </c>
      <c r="E74" s="57" t="s">
        <v>81</v>
      </c>
      <c r="F74" s="57" t="s">
        <v>76</v>
      </c>
      <c r="G74" s="57" t="s">
        <v>94</v>
      </c>
      <c r="H74" s="57" t="s">
        <v>430</v>
      </c>
      <c r="I74" s="57" t="s">
        <v>79</v>
      </c>
      <c r="J74" s="57" t="s">
        <v>94</v>
      </c>
      <c r="K74" s="57" t="s">
        <v>430</v>
      </c>
      <c r="L74" s="57" t="s">
        <v>79</v>
      </c>
      <c r="M74" s="57" t="s">
        <v>80</v>
      </c>
      <c r="N74" s="57" t="s">
        <v>80</v>
      </c>
      <c r="O74" s="57" t="s">
        <v>80</v>
      </c>
      <c r="P74" s="57" t="s">
        <v>80</v>
      </c>
      <c r="Q74" s="57" t="s">
        <v>80</v>
      </c>
      <c r="R74" s="57" t="s">
        <v>81</v>
      </c>
      <c r="S74" s="57" t="s">
        <v>81</v>
      </c>
      <c r="T74" s="57" t="s">
        <v>80</v>
      </c>
      <c r="U74" s="57" t="s">
        <v>80</v>
      </c>
      <c r="V74" s="57" t="s">
        <v>80</v>
      </c>
      <c r="W74" s="57" t="s">
        <v>81</v>
      </c>
      <c r="X74" s="57" t="s">
        <v>81</v>
      </c>
      <c r="Y74" s="57" t="s">
        <v>80</v>
      </c>
      <c r="Z74" s="57" t="s">
        <v>80</v>
      </c>
      <c r="AA74" s="57" t="s">
        <v>80</v>
      </c>
      <c r="AB74" s="57" t="s">
        <v>81</v>
      </c>
      <c r="AC74" s="57" t="s">
        <v>81</v>
      </c>
      <c r="AD74" s="57" t="s">
        <v>80</v>
      </c>
      <c r="AE74" s="57" t="s">
        <v>80</v>
      </c>
      <c r="AF74" s="57" t="s">
        <v>80</v>
      </c>
      <c r="AG74" s="57" t="s">
        <v>81</v>
      </c>
      <c r="AH74" s="57" t="s">
        <v>81</v>
      </c>
      <c r="AI74" s="57" t="s">
        <v>80</v>
      </c>
      <c r="AJ74" s="57" t="s">
        <v>80</v>
      </c>
      <c r="AK74" s="57" t="s">
        <v>80</v>
      </c>
      <c r="AL74" s="57" t="s">
        <v>81</v>
      </c>
      <c r="AM74" s="57" t="s">
        <v>81</v>
      </c>
      <c r="AN74" s="57" t="s">
        <v>80</v>
      </c>
      <c r="AO74" s="57" t="s">
        <v>80</v>
      </c>
      <c r="AP74" s="57" t="s">
        <v>80</v>
      </c>
      <c r="AQ74" s="57" t="s">
        <v>81</v>
      </c>
      <c r="AR74" s="57" t="s">
        <v>81</v>
      </c>
      <c r="AS74" s="58" t="s">
        <v>80</v>
      </c>
    </row>
    <row r="75" spans="1:45">
      <c r="A75" s="59" t="s">
        <v>1380</v>
      </c>
      <c r="B75" s="59" t="s">
        <v>201</v>
      </c>
      <c r="C75" s="59" t="s">
        <v>202</v>
      </c>
      <c r="D75" s="59" t="s">
        <v>75</v>
      </c>
      <c r="E75" s="59" t="s">
        <v>102</v>
      </c>
      <c r="F75" s="59" t="s">
        <v>76</v>
      </c>
      <c r="G75" s="59" t="s">
        <v>155</v>
      </c>
      <c r="H75" s="59" t="s">
        <v>156</v>
      </c>
      <c r="I75" s="59" t="s">
        <v>77</v>
      </c>
      <c r="J75" s="59" t="s">
        <v>155</v>
      </c>
      <c r="K75" s="59" t="s">
        <v>156</v>
      </c>
      <c r="L75" s="59" t="s">
        <v>77</v>
      </c>
      <c r="M75" s="59" t="s">
        <v>80</v>
      </c>
      <c r="N75" s="59" t="s">
        <v>80</v>
      </c>
      <c r="O75" s="59" t="s">
        <v>80</v>
      </c>
      <c r="P75" s="59" t="s">
        <v>80</v>
      </c>
      <c r="Q75" s="59" t="s">
        <v>80</v>
      </c>
      <c r="R75" s="59" t="s">
        <v>81</v>
      </c>
      <c r="S75" s="59" t="s">
        <v>81</v>
      </c>
      <c r="T75" s="59" t="s">
        <v>80</v>
      </c>
      <c r="U75" s="59" t="s">
        <v>80</v>
      </c>
      <c r="V75" s="59" t="s">
        <v>80</v>
      </c>
      <c r="W75" s="59" t="s">
        <v>81</v>
      </c>
      <c r="X75" s="59" t="s">
        <v>81</v>
      </c>
      <c r="Y75" s="59" t="s">
        <v>80</v>
      </c>
      <c r="Z75" s="59" t="s">
        <v>80</v>
      </c>
      <c r="AA75" s="59" t="s">
        <v>80</v>
      </c>
      <c r="AB75" s="59" t="s">
        <v>81</v>
      </c>
      <c r="AC75" s="59" t="s">
        <v>81</v>
      </c>
      <c r="AD75" s="59" t="s">
        <v>80</v>
      </c>
      <c r="AE75" s="59" t="s">
        <v>80</v>
      </c>
      <c r="AF75" s="59" t="s">
        <v>80</v>
      </c>
      <c r="AG75" s="59" t="s">
        <v>81</v>
      </c>
      <c r="AH75" s="59" t="s">
        <v>81</v>
      </c>
      <c r="AI75" s="59" t="s">
        <v>80</v>
      </c>
      <c r="AJ75" s="59" t="s">
        <v>80</v>
      </c>
      <c r="AK75" s="59" t="s">
        <v>80</v>
      </c>
      <c r="AL75" s="59" t="s">
        <v>81</v>
      </c>
      <c r="AM75" s="59" t="s">
        <v>81</v>
      </c>
      <c r="AN75" s="59" t="s">
        <v>80</v>
      </c>
      <c r="AO75" s="59" t="s">
        <v>80</v>
      </c>
      <c r="AP75" s="59" t="s">
        <v>80</v>
      </c>
      <c r="AQ75" s="59" t="s">
        <v>81</v>
      </c>
      <c r="AR75" s="59" t="s">
        <v>81</v>
      </c>
      <c r="AS75" s="60" t="s">
        <v>80</v>
      </c>
    </row>
    <row r="76" spans="1:45">
      <c r="A76" s="57" t="s">
        <v>1380</v>
      </c>
      <c r="B76" s="57" t="s">
        <v>205</v>
      </c>
      <c r="C76" s="57" t="s">
        <v>206</v>
      </c>
      <c r="D76" s="57" t="s">
        <v>75</v>
      </c>
      <c r="E76" s="57" t="s">
        <v>165</v>
      </c>
      <c r="F76" s="57" t="s">
        <v>76</v>
      </c>
      <c r="G76" s="57" t="s">
        <v>90</v>
      </c>
      <c r="H76" s="57" t="s">
        <v>91</v>
      </c>
      <c r="I76" s="57" t="s">
        <v>75</v>
      </c>
      <c r="J76" s="57" t="s">
        <v>82</v>
      </c>
      <c r="K76" s="57" t="s">
        <v>75</v>
      </c>
      <c r="L76" s="57" t="s">
        <v>75</v>
      </c>
      <c r="M76" s="57" t="s">
        <v>82</v>
      </c>
      <c r="N76" s="57" t="s">
        <v>75</v>
      </c>
      <c r="O76" s="57" t="s">
        <v>75</v>
      </c>
      <c r="P76" s="57" t="s">
        <v>404</v>
      </c>
      <c r="Q76" s="57" t="s">
        <v>82</v>
      </c>
      <c r="R76" s="57" t="s">
        <v>442</v>
      </c>
      <c r="S76" s="57" t="s">
        <v>443</v>
      </c>
      <c r="T76" s="57" t="s">
        <v>91</v>
      </c>
      <c r="U76" s="57" t="s">
        <v>404</v>
      </c>
      <c r="V76" s="57" t="s">
        <v>82</v>
      </c>
      <c r="W76" s="57" t="s">
        <v>442</v>
      </c>
      <c r="X76" s="57" t="s">
        <v>443</v>
      </c>
      <c r="Y76" s="57" t="s">
        <v>91</v>
      </c>
      <c r="Z76" s="57" t="s">
        <v>80</v>
      </c>
      <c r="AA76" s="57" t="s">
        <v>80</v>
      </c>
      <c r="AB76" s="57" t="s">
        <v>81</v>
      </c>
      <c r="AC76" s="57" t="s">
        <v>81</v>
      </c>
      <c r="AD76" s="57" t="s">
        <v>80</v>
      </c>
      <c r="AE76" s="57" t="s">
        <v>80</v>
      </c>
      <c r="AF76" s="57" t="s">
        <v>80</v>
      </c>
      <c r="AG76" s="57" t="s">
        <v>81</v>
      </c>
      <c r="AH76" s="57" t="s">
        <v>81</v>
      </c>
      <c r="AI76" s="57" t="s">
        <v>80</v>
      </c>
      <c r="AJ76" s="57" t="s">
        <v>404</v>
      </c>
      <c r="AK76" s="57" t="s">
        <v>82</v>
      </c>
      <c r="AL76" s="57" t="s">
        <v>395</v>
      </c>
      <c r="AM76" s="57" t="s">
        <v>444</v>
      </c>
      <c r="AN76" s="57" t="s">
        <v>75</v>
      </c>
      <c r="AO76" s="57" t="s">
        <v>404</v>
      </c>
      <c r="AP76" s="57" t="s">
        <v>82</v>
      </c>
      <c r="AQ76" s="57" t="s">
        <v>395</v>
      </c>
      <c r="AR76" s="57" t="s">
        <v>444</v>
      </c>
      <c r="AS76" s="58" t="s">
        <v>75</v>
      </c>
    </row>
    <row r="77" spans="1:45">
      <c r="A77" s="59" t="s">
        <v>1380</v>
      </c>
      <c r="B77" s="59" t="s">
        <v>445</v>
      </c>
      <c r="C77" s="59" t="s">
        <v>446</v>
      </c>
      <c r="D77" s="59" t="s">
        <v>75</v>
      </c>
      <c r="E77" s="59" t="s">
        <v>1420</v>
      </c>
      <c r="F77" s="59" t="s">
        <v>76</v>
      </c>
      <c r="G77" s="59" t="s">
        <v>82</v>
      </c>
      <c r="H77" s="59" t="s">
        <v>75</v>
      </c>
      <c r="I77" s="59" t="s">
        <v>75</v>
      </c>
      <c r="J77" s="59" t="s">
        <v>82</v>
      </c>
      <c r="K77" s="59" t="s">
        <v>75</v>
      </c>
      <c r="L77" s="59" t="s">
        <v>75</v>
      </c>
      <c r="M77" s="59" t="s">
        <v>80</v>
      </c>
      <c r="N77" s="59" t="s">
        <v>80</v>
      </c>
      <c r="O77" s="59" t="s">
        <v>80</v>
      </c>
      <c r="P77" s="59" t="s">
        <v>80</v>
      </c>
      <c r="Q77" s="59" t="s">
        <v>80</v>
      </c>
      <c r="R77" s="59" t="s">
        <v>81</v>
      </c>
      <c r="S77" s="59" t="s">
        <v>81</v>
      </c>
      <c r="T77" s="59" t="s">
        <v>80</v>
      </c>
      <c r="U77" s="59" t="s">
        <v>80</v>
      </c>
      <c r="V77" s="59" t="s">
        <v>80</v>
      </c>
      <c r="W77" s="59" t="s">
        <v>81</v>
      </c>
      <c r="X77" s="59" t="s">
        <v>81</v>
      </c>
      <c r="Y77" s="59" t="s">
        <v>80</v>
      </c>
      <c r="Z77" s="59" t="s">
        <v>80</v>
      </c>
      <c r="AA77" s="59" t="s">
        <v>80</v>
      </c>
      <c r="AB77" s="59" t="s">
        <v>81</v>
      </c>
      <c r="AC77" s="59" t="s">
        <v>81</v>
      </c>
      <c r="AD77" s="59" t="s">
        <v>80</v>
      </c>
      <c r="AE77" s="59" t="s">
        <v>80</v>
      </c>
      <c r="AF77" s="59" t="s">
        <v>80</v>
      </c>
      <c r="AG77" s="59" t="s">
        <v>81</v>
      </c>
      <c r="AH77" s="59" t="s">
        <v>81</v>
      </c>
      <c r="AI77" s="59" t="s">
        <v>80</v>
      </c>
      <c r="AJ77" s="59" t="s">
        <v>80</v>
      </c>
      <c r="AK77" s="59" t="s">
        <v>80</v>
      </c>
      <c r="AL77" s="59" t="s">
        <v>81</v>
      </c>
      <c r="AM77" s="59" t="s">
        <v>81</v>
      </c>
      <c r="AN77" s="59" t="s">
        <v>80</v>
      </c>
      <c r="AO77" s="59" t="s">
        <v>80</v>
      </c>
      <c r="AP77" s="59" t="s">
        <v>80</v>
      </c>
      <c r="AQ77" s="59" t="s">
        <v>81</v>
      </c>
      <c r="AR77" s="59" t="s">
        <v>81</v>
      </c>
      <c r="AS77" s="60" t="s">
        <v>80</v>
      </c>
    </row>
    <row r="78" spans="1:45">
      <c r="A78" s="57" t="s">
        <v>1380</v>
      </c>
      <c r="B78" s="57" t="s">
        <v>208</v>
      </c>
      <c r="C78" s="57" t="s">
        <v>209</v>
      </c>
      <c r="D78" s="57" t="s">
        <v>75</v>
      </c>
      <c r="E78" s="57" t="s">
        <v>251</v>
      </c>
      <c r="F78" s="57" t="s">
        <v>76</v>
      </c>
      <c r="G78" s="57" t="s">
        <v>475</v>
      </c>
      <c r="H78" s="57" t="s">
        <v>449</v>
      </c>
      <c r="I78" s="57" t="s">
        <v>77</v>
      </c>
      <c r="J78" s="57" t="s">
        <v>447</v>
      </c>
      <c r="K78" s="57" t="s">
        <v>476</v>
      </c>
      <c r="L78" s="57" t="s">
        <v>77</v>
      </c>
      <c r="M78" s="57" t="s">
        <v>82</v>
      </c>
      <c r="N78" s="57" t="s">
        <v>79</v>
      </c>
      <c r="O78" s="57" t="s">
        <v>79</v>
      </c>
      <c r="P78" s="57" t="s">
        <v>80</v>
      </c>
      <c r="Q78" s="57" t="s">
        <v>80</v>
      </c>
      <c r="R78" s="57" t="s">
        <v>81</v>
      </c>
      <c r="S78" s="57" t="s">
        <v>81</v>
      </c>
      <c r="T78" s="57" t="s">
        <v>80</v>
      </c>
      <c r="U78" s="57" t="s">
        <v>80</v>
      </c>
      <c r="V78" s="57" t="s">
        <v>80</v>
      </c>
      <c r="W78" s="57" t="s">
        <v>81</v>
      </c>
      <c r="X78" s="57" t="s">
        <v>81</v>
      </c>
      <c r="Y78" s="57" t="s">
        <v>80</v>
      </c>
      <c r="Z78" s="57" t="s">
        <v>80</v>
      </c>
      <c r="AA78" s="57" t="s">
        <v>80</v>
      </c>
      <c r="AB78" s="57" t="s">
        <v>81</v>
      </c>
      <c r="AC78" s="57" t="s">
        <v>81</v>
      </c>
      <c r="AD78" s="57" t="s">
        <v>80</v>
      </c>
      <c r="AE78" s="57" t="s">
        <v>80</v>
      </c>
      <c r="AF78" s="57" t="s">
        <v>80</v>
      </c>
      <c r="AG78" s="57" t="s">
        <v>81</v>
      </c>
      <c r="AH78" s="57" t="s">
        <v>81</v>
      </c>
      <c r="AI78" s="57" t="s">
        <v>80</v>
      </c>
      <c r="AJ78" s="57" t="s">
        <v>80</v>
      </c>
      <c r="AK78" s="57" t="s">
        <v>80</v>
      </c>
      <c r="AL78" s="57" t="s">
        <v>81</v>
      </c>
      <c r="AM78" s="57" t="s">
        <v>81</v>
      </c>
      <c r="AN78" s="57" t="s">
        <v>80</v>
      </c>
      <c r="AO78" s="57" t="s">
        <v>80</v>
      </c>
      <c r="AP78" s="57" t="s">
        <v>80</v>
      </c>
      <c r="AQ78" s="57" t="s">
        <v>81</v>
      </c>
      <c r="AR78" s="57" t="s">
        <v>81</v>
      </c>
      <c r="AS78" s="58" t="s">
        <v>80</v>
      </c>
    </row>
    <row r="79" spans="1:45">
      <c r="A79" s="59" t="s">
        <v>1380</v>
      </c>
      <c r="B79" s="59" t="s">
        <v>211</v>
      </c>
      <c r="C79" s="59" t="s">
        <v>212</v>
      </c>
      <c r="D79" s="59" t="s">
        <v>75</v>
      </c>
      <c r="E79" s="59" t="s">
        <v>81</v>
      </c>
      <c r="F79" s="59" t="s">
        <v>76</v>
      </c>
      <c r="G79" s="59" t="s">
        <v>90</v>
      </c>
      <c r="H79" s="59" t="s">
        <v>75</v>
      </c>
      <c r="I79" s="59" t="s">
        <v>79</v>
      </c>
      <c r="J79" s="59" t="s">
        <v>90</v>
      </c>
      <c r="K79" s="59" t="s">
        <v>75</v>
      </c>
      <c r="L79" s="59" t="s">
        <v>79</v>
      </c>
      <c r="M79" s="59" t="s">
        <v>80</v>
      </c>
      <c r="N79" s="59" t="s">
        <v>80</v>
      </c>
      <c r="O79" s="59" t="s">
        <v>80</v>
      </c>
      <c r="P79" s="59" t="s">
        <v>80</v>
      </c>
      <c r="Q79" s="59" t="s">
        <v>80</v>
      </c>
      <c r="R79" s="59" t="s">
        <v>81</v>
      </c>
      <c r="S79" s="59" t="s">
        <v>81</v>
      </c>
      <c r="T79" s="59" t="s">
        <v>80</v>
      </c>
      <c r="U79" s="59" t="s">
        <v>80</v>
      </c>
      <c r="V79" s="59" t="s">
        <v>80</v>
      </c>
      <c r="W79" s="59" t="s">
        <v>81</v>
      </c>
      <c r="X79" s="59" t="s">
        <v>81</v>
      </c>
      <c r="Y79" s="59" t="s">
        <v>80</v>
      </c>
      <c r="Z79" s="59" t="s">
        <v>80</v>
      </c>
      <c r="AA79" s="59" t="s">
        <v>80</v>
      </c>
      <c r="AB79" s="59" t="s">
        <v>81</v>
      </c>
      <c r="AC79" s="59" t="s">
        <v>81</v>
      </c>
      <c r="AD79" s="59" t="s">
        <v>80</v>
      </c>
      <c r="AE79" s="59" t="s">
        <v>80</v>
      </c>
      <c r="AF79" s="59" t="s">
        <v>80</v>
      </c>
      <c r="AG79" s="59" t="s">
        <v>81</v>
      </c>
      <c r="AH79" s="59" t="s">
        <v>81</v>
      </c>
      <c r="AI79" s="59" t="s">
        <v>80</v>
      </c>
      <c r="AJ79" s="59" t="s">
        <v>80</v>
      </c>
      <c r="AK79" s="59" t="s">
        <v>80</v>
      </c>
      <c r="AL79" s="59" t="s">
        <v>81</v>
      </c>
      <c r="AM79" s="59" t="s">
        <v>81</v>
      </c>
      <c r="AN79" s="59" t="s">
        <v>80</v>
      </c>
      <c r="AO79" s="59" t="s">
        <v>80</v>
      </c>
      <c r="AP79" s="59" t="s">
        <v>80</v>
      </c>
      <c r="AQ79" s="59" t="s">
        <v>81</v>
      </c>
      <c r="AR79" s="59" t="s">
        <v>81</v>
      </c>
      <c r="AS79" s="60" t="s">
        <v>80</v>
      </c>
    </row>
    <row r="80" spans="1:45">
      <c r="A80" s="57" t="s">
        <v>1380</v>
      </c>
      <c r="B80" s="57" t="s">
        <v>1421</v>
      </c>
      <c r="C80" s="57" t="s">
        <v>1035</v>
      </c>
      <c r="D80" s="57" t="s">
        <v>75</v>
      </c>
      <c r="E80" s="57" t="s">
        <v>104</v>
      </c>
      <c r="F80" s="57" t="s">
        <v>76</v>
      </c>
      <c r="G80" s="57" t="s">
        <v>82</v>
      </c>
      <c r="H80" s="57" t="s">
        <v>75</v>
      </c>
      <c r="I80" s="57" t="s">
        <v>75</v>
      </c>
      <c r="J80" s="57" t="s">
        <v>82</v>
      </c>
      <c r="K80" s="57" t="s">
        <v>75</v>
      </c>
      <c r="L80" s="57" t="s">
        <v>75</v>
      </c>
      <c r="M80" s="57" t="s">
        <v>80</v>
      </c>
      <c r="N80" s="57" t="s">
        <v>80</v>
      </c>
      <c r="O80" s="57" t="s">
        <v>80</v>
      </c>
      <c r="P80" s="57" t="s">
        <v>80</v>
      </c>
      <c r="Q80" s="57" t="s">
        <v>80</v>
      </c>
      <c r="R80" s="57" t="s">
        <v>81</v>
      </c>
      <c r="S80" s="57" t="s">
        <v>81</v>
      </c>
      <c r="T80" s="57" t="s">
        <v>80</v>
      </c>
      <c r="U80" s="57" t="s">
        <v>80</v>
      </c>
      <c r="V80" s="57" t="s">
        <v>80</v>
      </c>
      <c r="W80" s="57" t="s">
        <v>81</v>
      </c>
      <c r="X80" s="57" t="s">
        <v>81</v>
      </c>
      <c r="Y80" s="57" t="s">
        <v>80</v>
      </c>
      <c r="Z80" s="57" t="s">
        <v>80</v>
      </c>
      <c r="AA80" s="57" t="s">
        <v>80</v>
      </c>
      <c r="AB80" s="57" t="s">
        <v>81</v>
      </c>
      <c r="AC80" s="57" t="s">
        <v>81</v>
      </c>
      <c r="AD80" s="57" t="s">
        <v>80</v>
      </c>
      <c r="AE80" s="57" t="s">
        <v>80</v>
      </c>
      <c r="AF80" s="57" t="s">
        <v>80</v>
      </c>
      <c r="AG80" s="57" t="s">
        <v>81</v>
      </c>
      <c r="AH80" s="57" t="s">
        <v>81</v>
      </c>
      <c r="AI80" s="57" t="s">
        <v>80</v>
      </c>
      <c r="AJ80" s="57" t="s">
        <v>80</v>
      </c>
      <c r="AK80" s="57" t="s">
        <v>80</v>
      </c>
      <c r="AL80" s="57" t="s">
        <v>81</v>
      </c>
      <c r="AM80" s="57" t="s">
        <v>81</v>
      </c>
      <c r="AN80" s="57" t="s">
        <v>80</v>
      </c>
      <c r="AO80" s="57" t="s">
        <v>80</v>
      </c>
      <c r="AP80" s="57" t="s">
        <v>80</v>
      </c>
      <c r="AQ80" s="57" t="s">
        <v>81</v>
      </c>
      <c r="AR80" s="57" t="s">
        <v>81</v>
      </c>
      <c r="AS80" s="58" t="s">
        <v>80</v>
      </c>
    </row>
    <row r="81" spans="1:45">
      <c r="A81" s="59" t="s">
        <v>1380</v>
      </c>
      <c r="B81" s="59" t="s">
        <v>213</v>
      </c>
      <c r="C81" s="59" t="s">
        <v>214</v>
      </c>
      <c r="D81" s="59" t="s">
        <v>75</v>
      </c>
      <c r="E81" s="59" t="s">
        <v>429</v>
      </c>
      <c r="F81" s="59" t="s">
        <v>76</v>
      </c>
      <c r="G81" s="59" t="s">
        <v>485</v>
      </c>
      <c r="H81" s="59" t="s">
        <v>1422</v>
      </c>
      <c r="I81" s="59" t="s">
        <v>79</v>
      </c>
      <c r="J81" s="59" t="s">
        <v>485</v>
      </c>
      <c r="K81" s="59" t="s">
        <v>1422</v>
      </c>
      <c r="L81" s="59" t="s">
        <v>79</v>
      </c>
      <c r="M81" s="59" t="s">
        <v>80</v>
      </c>
      <c r="N81" s="59" t="s">
        <v>80</v>
      </c>
      <c r="O81" s="59" t="s">
        <v>80</v>
      </c>
      <c r="P81" s="59" t="s">
        <v>80</v>
      </c>
      <c r="Q81" s="59" t="s">
        <v>80</v>
      </c>
      <c r="R81" s="59" t="s">
        <v>81</v>
      </c>
      <c r="S81" s="59" t="s">
        <v>81</v>
      </c>
      <c r="T81" s="59" t="s">
        <v>80</v>
      </c>
      <c r="U81" s="59" t="s">
        <v>80</v>
      </c>
      <c r="V81" s="59" t="s">
        <v>80</v>
      </c>
      <c r="W81" s="59" t="s">
        <v>81</v>
      </c>
      <c r="X81" s="59" t="s">
        <v>81</v>
      </c>
      <c r="Y81" s="59" t="s">
        <v>80</v>
      </c>
      <c r="Z81" s="59" t="s">
        <v>80</v>
      </c>
      <c r="AA81" s="59" t="s">
        <v>80</v>
      </c>
      <c r="AB81" s="59" t="s">
        <v>81</v>
      </c>
      <c r="AC81" s="59" t="s">
        <v>81</v>
      </c>
      <c r="AD81" s="59" t="s">
        <v>80</v>
      </c>
      <c r="AE81" s="59" t="s">
        <v>80</v>
      </c>
      <c r="AF81" s="59" t="s">
        <v>80</v>
      </c>
      <c r="AG81" s="59" t="s">
        <v>81</v>
      </c>
      <c r="AH81" s="59" t="s">
        <v>81</v>
      </c>
      <c r="AI81" s="59" t="s">
        <v>80</v>
      </c>
      <c r="AJ81" s="59" t="s">
        <v>80</v>
      </c>
      <c r="AK81" s="59" t="s">
        <v>80</v>
      </c>
      <c r="AL81" s="59" t="s">
        <v>81</v>
      </c>
      <c r="AM81" s="59" t="s">
        <v>81</v>
      </c>
      <c r="AN81" s="59" t="s">
        <v>80</v>
      </c>
      <c r="AO81" s="59" t="s">
        <v>80</v>
      </c>
      <c r="AP81" s="59" t="s">
        <v>80</v>
      </c>
      <c r="AQ81" s="59" t="s">
        <v>81</v>
      </c>
      <c r="AR81" s="59" t="s">
        <v>81</v>
      </c>
      <c r="AS81" s="60" t="s">
        <v>80</v>
      </c>
    </row>
    <row r="82" spans="1:45">
      <c r="A82" s="57" t="s">
        <v>1380</v>
      </c>
      <c r="B82" s="57" t="s">
        <v>216</v>
      </c>
      <c r="C82" s="57" t="s">
        <v>217</v>
      </c>
      <c r="D82" s="57" t="s">
        <v>75</v>
      </c>
      <c r="E82" s="57" t="s">
        <v>435</v>
      </c>
      <c r="F82" s="57" t="s">
        <v>76</v>
      </c>
      <c r="G82" s="57" t="s">
        <v>483</v>
      </c>
      <c r="H82" s="57" t="s">
        <v>491</v>
      </c>
      <c r="I82" s="57" t="s">
        <v>79</v>
      </c>
      <c r="J82" s="57" t="s">
        <v>483</v>
      </c>
      <c r="K82" s="57" t="s">
        <v>491</v>
      </c>
      <c r="L82" s="57" t="s">
        <v>79</v>
      </c>
      <c r="M82" s="57" t="s">
        <v>80</v>
      </c>
      <c r="N82" s="57" t="s">
        <v>80</v>
      </c>
      <c r="O82" s="57" t="s">
        <v>80</v>
      </c>
      <c r="P82" s="57" t="s">
        <v>80</v>
      </c>
      <c r="Q82" s="57" t="s">
        <v>80</v>
      </c>
      <c r="R82" s="57" t="s">
        <v>81</v>
      </c>
      <c r="S82" s="57" t="s">
        <v>81</v>
      </c>
      <c r="T82" s="57" t="s">
        <v>80</v>
      </c>
      <c r="U82" s="57" t="s">
        <v>80</v>
      </c>
      <c r="V82" s="57" t="s">
        <v>80</v>
      </c>
      <c r="W82" s="57" t="s">
        <v>81</v>
      </c>
      <c r="X82" s="57" t="s">
        <v>81</v>
      </c>
      <c r="Y82" s="57" t="s">
        <v>80</v>
      </c>
      <c r="Z82" s="57" t="s">
        <v>80</v>
      </c>
      <c r="AA82" s="57" t="s">
        <v>80</v>
      </c>
      <c r="AB82" s="57" t="s">
        <v>81</v>
      </c>
      <c r="AC82" s="57" t="s">
        <v>81</v>
      </c>
      <c r="AD82" s="57" t="s">
        <v>80</v>
      </c>
      <c r="AE82" s="57" t="s">
        <v>80</v>
      </c>
      <c r="AF82" s="57" t="s">
        <v>80</v>
      </c>
      <c r="AG82" s="57" t="s">
        <v>81</v>
      </c>
      <c r="AH82" s="57" t="s">
        <v>81</v>
      </c>
      <c r="AI82" s="57" t="s">
        <v>80</v>
      </c>
      <c r="AJ82" s="57" t="s">
        <v>80</v>
      </c>
      <c r="AK82" s="57" t="s">
        <v>80</v>
      </c>
      <c r="AL82" s="57" t="s">
        <v>81</v>
      </c>
      <c r="AM82" s="57" t="s">
        <v>81</v>
      </c>
      <c r="AN82" s="57" t="s">
        <v>80</v>
      </c>
      <c r="AO82" s="57" t="s">
        <v>80</v>
      </c>
      <c r="AP82" s="57" t="s">
        <v>80</v>
      </c>
      <c r="AQ82" s="57" t="s">
        <v>81</v>
      </c>
      <c r="AR82" s="57" t="s">
        <v>81</v>
      </c>
      <c r="AS82" s="58" t="s">
        <v>80</v>
      </c>
    </row>
    <row r="83" spans="1:45">
      <c r="A83" s="59" t="s">
        <v>1380</v>
      </c>
      <c r="B83" s="59" t="s">
        <v>1423</v>
      </c>
      <c r="C83" s="59" t="s">
        <v>932</v>
      </c>
      <c r="D83" s="59" t="s">
        <v>75</v>
      </c>
      <c r="E83" s="59" t="s">
        <v>303</v>
      </c>
      <c r="F83" s="59" t="s">
        <v>76</v>
      </c>
      <c r="G83" s="59" t="s">
        <v>90</v>
      </c>
      <c r="H83" s="59" t="s">
        <v>477</v>
      </c>
      <c r="I83" s="59" t="s">
        <v>128</v>
      </c>
      <c r="J83" s="59" t="s">
        <v>90</v>
      </c>
      <c r="K83" s="59" t="s">
        <v>477</v>
      </c>
      <c r="L83" s="59" t="s">
        <v>128</v>
      </c>
      <c r="M83" s="59" t="s">
        <v>80</v>
      </c>
      <c r="N83" s="59" t="s">
        <v>80</v>
      </c>
      <c r="O83" s="59" t="s">
        <v>80</v>
      </c>
      <c r="P83" s="59" t="s">
        <v>80</v>
      </c>
      <c r="Q83" s="59" t="s">
        <v>80</v>
      </c>
      <c r="R83" s="59" t="s">
        <v>81</v>
      </c>
      <c r="S83" s="59" t="s">
        <v>81</v>
      </c>
      <c r="T83" s="59" t="s">
        <v>80</v>
      </c>
      <c r="U83" s="59" t="s">
        <v>80</v>
      </c>
      <c r="V83" s="59" t="s">
        <v>80</v>
      </c>
      <c r="W83" s="59" t="s">
        <v>81</v>
      </c>
      <c r="X83" s="59" t="s">
        <v>81</v>
      </c>
      <c r="Y83" s="59" t="s">
        <v>80</v>
      </c>
      <c r="Z83" s="59" t="s">
        <v>80</v>
      </c>
      <c r="AA83" s="59" t="s">
        <v>80</v>
      </c>
      <c r="AB83" s="59" t="s">
        <v>81</v>
      </c>
      <c r="AC83" s="59" t="s">
        <v>81</v>
      </c>
      <c r="AD83" s="59" t="s">
        <v>80</v>
      </c>
      <c r="AE83" s="59" t="s">
        <v>80</v>
      </c>
      <c r="AF83" s="59" t="s">
        <v>80</v>
      </c>
      <c r="AG83" s="59" t="s">
        <v>81</v>
      </c>
      <c r="AH83" s="59" t="s">
        <v>81</v>
      </c>
      <c r="AI83" s="59" t="s">
        <v>80</v>
      </c>
      <c r="AJ83" s="59" t="s">
        <v>80</v>
      </c>
      <c r="AK83" s="59" t="s">
        <v>80</v>
      </c>
      <c r="AL83" s="59" t="s">
        <v>81</v>
      </c>
      <c r="AM83" s="59" t="s">
        <v>81</v>
      </c>
      <c r="AN83" s="59" t="s">
        <v>80</v>
      </c>
      <c r="AO83" s="59" t="s">
        <v>80</v>
      </c>
      <c r="AP83" s="59" t="s">
        <v>80</v>
      </c>
      <c r="AQ83" s="59" t="s">
        <v>81</v>
      </c>
      <c r="AR83" s="59" t="s">
        <v>81</v>
      </c>
      <c r="AS83" s="60" t="s">
        <v>80</v>
      </c>
    </row>
    <row r="84" spans="1:45">
      <c r="A84" s="57" t="s">
        <v>1380</v>
      </c>
      <c r="B84" s="57" t="s">
        <v>450</v>
      </c>
      <c r="C84" s="57" t="s">
        <v>451</v>
      </c>
      <c r="D84" s="57" t="s">
        <v>75</v>
      </c>
      <c r="E84" s="57" t="s">
        <v>340</v>
      </c>
      <c r="F84" s="57" t="s">
        <v>76</v>
      </c>
      <c r="G84" s="57" t="s">
        <v>90</v>
      </c>
      <c r="H84" s="57" t="s">
        <v>103</v>
      </c>
      <c r="I84" s="57" t="s">
        <v>116</v>
      </c>
      <c r="J84" s="57" t="s">
        <v>90</v>
      </c>
      <c r="K84" s="57" t="s">
        <v>103</v>
      </c>
      <c r="L84" s="57" t="s">
        <v>116</v>
      </c>
      <c r="M84" s="57" t="s">
        <v>80</v>
      </c>
      <c r="N84" s="57" t="s">
        <v>80</v>
      </c>
      <c r="O84" s="57" t="s">
        <v>80</v>
      </c>
      <c r="P84" s="57" t="s">
        <v>80</v>
      </c>
      <c r="Q84" s="57" t="s">
        <v>80</v>
      </c>
      <c r="R84" s="57" t="s">
        <v>81</v>
      </c>
      <c r="S84" s="57" t="s">
        <v>81</v>
      </c>
      <c r="T84" s="57" t="s">
        <v>80</v>
      </c>
      <c r="U84" s="57" t="s">
        <v>80</v>
      </c>
      <c r="V84" s="57" t="s">
        <v>80</v>
      </c>
      <c r="W84" s="57" t="s">
        <v>81</v>
      </c>
      <c r="X84" s="57" t="s">
        <v>81</v>
      </c>
      <c r="Y84" s="57" t="s">
        <v>80</v>
      </c>
      <c r="Z84" s="57" t="s">
        <v>80</v>
      </c>
      <c r="AA84" s="57" t="s">
        <v>80</v>
      </c>
      <c r="AB84" s="57" t="s">
        <v>81</v>
      </c>
      <c r="AC84" s="57" t="s">
        <v>81</v>
      </c>
      <c r="AD84" s="57" t="s">
        <v>80</v>
      </c>
      <c r="AE84" s="57" t="s">
        <v>80</v>
      </c>
      <c r="AF84" s="57" t="s">
        <v>80</v>
      </c>
      <c r="AG84" s="57" t="s">
        <v>81</v>
      </c>
      <c r="AH84" s="57" t="s">
        <v>81</v>
      </c>
      <c r="AI84" s="57" t="s">
        <v>80</v>
      </c>
      <c r="AJ84" s="57" t="s">
        <v>80</v>
      </c>
      <c r="AK84" s="57" t="s">
        <v>80</v>
      </c>
      <c r="AL84" s="57" t="s">
        <v>81</v>
      </c>
      <c r="AM84" s="57" t="s">
        <v>81</v>
      </c>
      <c r="AN84" s="57" t="s">
        <v>80</v>
      </c>
      <c r="AO84" s="57" t="s">
        <v>80</v>
      </c>
      <c r="AP84" s="57" t="s">
        <v>80</v>
      </c>
      <c r="AQ84" s="57" t="s">
        <v>81</v>
      </c>
      <c r="AR84" s="57" t="s">
        <v>81</v>
      </c>
      <c r="AS84" s="58" t="s">
        <v>80</v>
      </c>
    </row>
    <row r="85" spans="1:45">
      <c r="A85" s="59" t="s">
        <v>1380</v>
      </c>
      <c r="B85" s="59" t="s">
        <v>219</v>
      </c>
      <c r="C85" s="59" t="s">
        <v>220</v>
      </c>
      <c r="D85" s="59" t="s">
        <v>75</v>
      </c>
      <c r="E85" s="59" t="s">
        <v>224</v>
      </c>
      <c r="F85" s="59" t="s">
        <v>76</v>
      </c>
      <c r="G85" s="59" t="s">
        <v>1424</v>
      </c>
      <c r="H85" s="59" t="s">
        <v>1425</v>
      </c>
      <c r="I85" s="59" t="s">
        <v>77</v>
      </c>
      <c r="J85" s="59" t="s">
        <v>1424</v>
      </c>
      <c r="K85" s="59" t="s">
        <v>1425</v>
      </c>
      <c r="L85" s="59" t="s">
        <v>77</v>
      </c>
      <c r="M85" s="59" t="s">
        <v>80</v>
      </c>
      <c r="N85" s="59" t="s">
        <v>80</v>
      </c>
      <c r="O85" s="59" t="s">
        <v>80</v>
      </c>
      <c r="P85" s="59" t="s">
        <v>80</v>
      </c>
      <c r="Q85" s="59" t="s">
        <v>80</v>
      </c>
      <c r="R85" s="59" t="s">
        <v>81</v>
      </c>
      <c r="S85" s="59" t="s">
        <v>81</v>
      </c>
      <c r="T85" s="59" t="s">
        <v>80</v>
      </c>
      <c r="U85" s="59" t="s">
        <v>80</v>
      </c>
      <c r="V85" s="59" t="s">
        <v>80</v>
      </c>
      <c r="W85" s="59" t="s">
        <v>81</v>
      </c>
      <c r="X85" s="59" t="s">
        <v>81</v>
      </c>
      <c r="Y85" s="59" t="s">
        <v>80</v>
      </c>
      <c r="Z85" s="59" t="s">
        <v>80</v>
      </c>
      <c r="AA85" s="59" t="s">
        <v>80</v>
      </c>
      <c r="AB85" s="59" t="s">
        <v>81</v>
      </c>
      <c r="AC85" s="59" t="s">
        <v>81</v>
      </c>
      <c r="AD85" s="59" t="s">
        <v>80</v>
      </c>
      <c r="AE85" s="59" t="s">
        <v>80</v>
      </c>
      <c r="AF85" s="59" t="s">
        <v>80</v>
      </c>
      <c r="AG85" s="59" t="s">
        <v>81</v>
      </c>
      <c r="AH85" s="59" t="s">
        <v>81</v>
      </c>
      <c r="AI85" s="59" t="s">
        <v>80</v>
      </c>
      <c r="AJ85" s="59" t="s">
        <v>80</v>
      </c>
      <c r="AK85" s="59" t="s">
        <v>80</v>
      </c>
      <c r="AL85" s="59" t="s">
        <v>81</v>
      </c>
      <c r="AM85" s="59" t="s">
        <v>81</v>
      </c>
      <c r="AN85" s="59" t="s">
        <v>80</v>
      </c>
      <c r="AO85" s="59" t="s">
        <v>80</v>
      </c>
      <c r="AP85" s="59" t="s">
        <v>80</v>
      </c>
      <c r="AQ85" s="59" t="s">
        <v>81</v>
      </c>
      <c r="AR85" s="59" t="s">
        <v>81</v>
      </c>
      <c r="AS85" s="60" t="s">
        <v>80</v>
      </c>
    </row>
    <row r="86" spans="1:45">
      <c r="A86" s="57" t="s">
        <v>1380</v>
      </c>
      <c r="B86" s="57" t="s">
        <v>222</v>
      </c>
      <c r="C86" s="57" t="s">
        <v>223</v>
      </c>
      <c r="D86" s="57" t="s">
        <v>75</v>
      </c>
      <c r="E86" s="57" t="s">
        <v>224</v>
      </c>
      <c r="F86" s="57" t="s">
        <v>76</v>
      </c>
      <c r="G86" s="57" t="s">
        <v>155</v>
      </c>
      <c r="H86" s="57" t="s">
        <v>1426</v>
      </c>
      <c r="I86" s="57" t="s">
        <v>77</v>
      </c>
      <c r="J86" s="57" t="s">
        <v>155</v>
      </c>
      <c r="K86" s="57" t="s">
        <v>1426</v>
      </c>
      <c r="L86" s="57" t="s">
        <v>77</v>
      </c>
      <c r="M86" s="57" t="s">
        <v>80</v>
      </c>
      <c r="N86" s="57" t="s">
        <v>80</v>
      </c>
      <c r="O86" s="57" t="s">
        <v>80</v>
      </c>
      <c r="P86" s="57" t="s">
        <v>80</v>
      </c>
      <c r="Q86" s="57" t="s">
        <v>80</v>
      </c>
      <c r="R86" s="57" t="s">
        <v>81</v>
      </c>
      <c r="S86" s="57" t="s">
        <v>81</v>
      </c>
      <c r="T86" s="57" t="s">
        <v>80</v>
      </c>
      <c r="U86" s="57" t="s">
        <v>80</v>
      </c>
      <c r="V86" s="57" t="s">
        <v>80</v>
      </c>
      <c r="W86" s="57" t="s">
        <v>81</v>
      </c>
      <c r="X86" s="57" t="s">
        <v>81</v>
      </c>
      <c r="Y86" s="57" t="s">
        <v>80</v>
      </c>
      <c r="Z86" s="57" t="s">
        <v>80</v>
      </c>
      <c r="AA86" s="57" t="s">
        <v>80</v>
      </c>
      <c r="AB86" s="57" t="s">
        <v>81</v>
      </c>
      <c r="AC86" s="57" t="s">
        <v>81</v>
      </c>
      <c r="AD86" s="57" t="s">
        <v>80</v>
      </c>
      <c r="AE86" s="57" t="s">
        <v>80</v>
      </c>
      <c r="AF86" s="57" t="s">
        <v>80</v>
      </c>
      <c r="AG86" s="57" t="s">
        <v>81</v>
      </c>
      <c r="AH86" s="57" t="s">
        <v>81</v>
      </c>
      <c r="AI86" s="57" t="s">
        <v>80</v>
      </c>
      <c r="AJ86" s="57" t="s">
        <v>80</v>
      </c>
      <c r="AK86" s="57" t="s">
        <v>80</v>
      </c>
      <c r="AL86" s="57" t="s">
        <v>81</v>
      </c>
      <c r="AM86" s="57" t="s">
        <v>81</v>
      </c>
      <c r="AN86" s="57" t="s">
        <v>80</v>
      </c>
      <c r="AO86" s="57" t="s">
        <v>80</v>
      </c>
      <c r="AP86" s="57" t="s">
        <v>80</v>
      </c>
      <c r="AQ86" s="57" t="s">
        <v>81</v>
      </c>
      <c r="AR86" s="57" t="s">
        <v>81</v>
      </c>
      <c r="AS86" s="58" t="s">
        <v>80</v>
      </c>
    </row>
    <row r="87" spans="1:45">
      <c r="A87" s="59" t="s">
        <v>1380</v>
      </c>
      <c r="B87" s="59" t="s">
        <v>225</v>
      </c>
      <c r="C87" s="59" t="s">
        <v>226</v>
      </c>
      <c r="D87" s="59" t="s">
        <v>75</v>
      </c>
      <c r="E87" s="59" t="s">
        <v>173</v>
      </c>
      <c r="F87" s="59" t="s">
        <v>76</v>
      </c>
      <c r="G87" s="59" t="s">
        <v>447</v>
      </c>
      <c r="H87" s="59" t="s">
        <v>432</v>
      </c>
      <c r="I87" s="59" t="s">
        <v>79</v>
      </c>
      <c r="J87" s="59" t="s">
        <v>447</v>
      </c>
      <c r="K87" s="59" t="s">
        <v>432</v>
      </c>
      <c r="L87" s="59" t="s">
        <v>79</v>
      </c>
      <c r="M87" s="59" t="s">
        <v>80</v>
      </c>
      <c r="N87" s="59" t="s">
        <v>80</v>
      </c>
      <c r="O87" s="59" t="s">
        <v>80</v>
      </c>
      <c r="P87" s="59" t="s">
        <v>80</v>
      </c>
      <c r="Q87" s="59" t="s">
        <v>80</v>
      </c>
      <c r="R87" s="59" t="s">
        <v>81</v>
      </c>
      <c r="S87" s="59" t="s">
        <v>81</v>
      </c>
      <c r="T87" s="59" t="s">
        <v>80</v>
      </c>
      <c r="U87" s="59" t="s">
        <v>80</v>
      </c>
      <c r="V87" s="59" t="s">
        <v>80</v>
      </c>
      <c r="W87" s="59" t="s">
        <v>81</v>
      </c>
      <c r="X87" s="59" t="s">
        <v>81</v>
      </c>
      <c r="Y87" s="59" t="s">
        <v>80</v>
      </c>
      <c r="Z87" s="59" t="s">
        <v>80</v>
      </c>
      <c r="AA87" s="59" t="s">
        <v>80</v>
      </c>
      <c r="AB87" s="59" t="s">
        <v>81</v>
      </c>
      <c r="AC87" s="59" t="s">
        <v>81</v>
      </c>
      <c r="AD87" s="59" t="s">
        <v>80</v>
      </c>
      <c r="AE87" s="59" t="s">
        <v>80</v>
      </c>
      <c r="AF87" s="59" t="s">
        <v>80</v>
      </c>
      <c r="AG87" s="59" t="s">
        <v>81</v>
      </c>
      <c r="AH87" s="59" t="s">
        <v>81</v>
      </c>
      <c r="AI87" s="59" t="s">
        <v>80</v>
      </c>
      <c r="AJ87" s="59" t="s">
        <v>80</v>
      </c>
      <c r="AK87" s="59" t="s">
        <v>80</v>
      </c>
      <c r="AL87" s="59" t="s">
        <v>81</v>
      </c>
      <c r="AM87" s="59" t="s">
        <v>81</v>
      </c>
      <c r="AN87" s="59" t="s">
        <v>80</v>
      </c>
      <c r="AO87" s="59" t="s">
        <v>80</v>
      </c>
      <c r="AP87" s="59" t="s">
        <v>80</v>
      </c>
      <c r="AQ87" s="59" t="s">
        <v>81</v>
      </c>
      <c r="AR87" s="59" t="s">
        <v>81</v>
      </c>
      <c r="AS87" s="60" t="s">
        <v>80</v>
      </c>
    </row>
    <row r="88" spans="1:45">
      <c r="A88" s="57" t="s">
        <v>1380</v>
      </c>
      <c r="B88" s="57" t="s">
        <v>455</v>
      </c>
      <c r="C88" s="57" t="s">
        <v>456</v>
      </c>
      <c r="D88" s="57" t="s">
        <v>75</v>
      </c>
      <c r="E88" s="57" t="s">
        <v>81</v>
      </c>
      <c r="F88" s="57" t="s">
        <v>76</v>
      </c>
      <c r="G88" s="57" t="s">
        <v>82</v>
      </c>
      <c r="H88" s="57" t="s">
        <v>79</v>
      </c>
      <c r="I88" s="57" t="s">
        <v>79</v>
      </c>
      <c r="J88" s="57" t="s">
        <v>82</v>
      </c>
      <c r="K88" s="57" t="s">
        <v>79</v>
      </c>
      <c r="L88" s="57" t="s">
        <v>79</v>
      </c>
      <c r="M88" s="57" t="s">
        <v>80</v>
      </c>
      <c r="N88" s="57" t="s">
        <v>80</v>
      </c>
      <c r="O88" s="57" t="s">
        <v>80</v>
      </c>
      <c r="P88" s="57" t="s">
        <v>80</v>
      </c>
      <c r="Q88" s="57" t="s">
        <v>80</v>
      </c>
      <c r="R88" s="57" t="s">
        <v>81</v>
      </c>
      <c r="S88" s="57" t="s">
        <v>81</v>
      </c>
      <c r="T88" s="57" t="s">
        <v>80</v>
      </c>
      <c r="U88" s="57" t="s">
        <v>80</v>
      </c>
      <c r="V88" s="57" t="s">
        <v>80</v>
      </c>
      <c r="W88" s="57" t="s">
        <v>81</v>
      </c>
      <c r="X88" s="57" t="s">
        <v>81</v>
      </c>
      <c r="Y88" s="57" t="s">
        <v>80</v>
      </c>
      <c r="Z88" s="57" t="s">
        <v>80</v>
      </c>
      <c r="AA88" s="57" t="s">
        <v>80</v>
      </c>
      <c r="AB88" s="57" t="s">
        <v>81</v>
      </c>
      <c r="AC88" s="57" t="s">
        <v>81</v>
      </c>
      <c r="AD88" s="57" t="s">
        <v>80</v>
      </c>
      <c r="AE88" s="57" t="s">
        <v>80</v>
      </c>
      <c r="AF88" s="57" t="s">
        <v>80</v>
      </c>
      <c r="AG88" s="57" t="s">
        <v>81</v>
      </c>
      <c r="AH88" s="57" t="s">
        <v>81</v>
      </c>
      <c r="AI88" s="57" t="s">
        <v>80</v>
      </c>
      <c r="AJ88" s="57" t="s">
        <v>80</v>
      </c>
      <c r="AK88" s="57" t="s">
        <v>80</v>
      </c>
      <c r="AL88" s="57" t="s">
        <v>81</v>
      </c>
      <c r="AM88" s="57" t="s">
        <v>81</v>
      </c>
      <c r="AN88" s="57" t="s">
        <v>80</v>
      </c>
      <c r="AO88" s="57" t="s">
        <v>80</v>
      </c>
      <c r="AP88" s="57" t="s">
        <v>80</v>
      </c>
      <c r="AQ88" s="57" t="s">
        <v>81</v>
      </c>
      <c r="AR88" s="57" t="s">
        <v>81</v>
      </c>
      <c r="AS88" s="58" t="s">
        <v>80</v>
      </c>
    </row>
    <row r="89" spans="1:45">
      <c r="A89" s="59" t="s">
        <v>1380</v>
      </c>
      <c r="B89" s="59" t="s">
        <v>457</v>
      </c>
      <c r="C89" s="59" t="s">
        <v>458</v>
      </c>
      <c r="D89" s="59" t="s">
        <v>75</v>
      </c>
      <c r="E89" s="59" t="s">
        <v>1399</v>
      </c>
      <c r="F89" s="59" t="s">
        <v>76</v>
      </c>
      <c r="G89" s="59" t="s">
        <v>93</v>
      </c>
      <c r="H89" s="59" t="s">
        <v>103</v>
      </c>
      <c r="I89" s="59" t="s">
        <v>79</v>
      </c>
      <c r="J89" s="59" t="s">
        <v>93</v>
      </c>
      <c r="K89" s="59" t="s">
        <v>103</v>
      </c>
      <c r="L89" s="59" t="s">
        <v>79</v>
      </c>
      <c r="M89" s="59" t="s">
        <v>80</v>
      </c>
      <c r="N89" s="59" t="s">
        <v>80</v>
      </c>
      <c r="O89" s="59" t="s">
        <v>80</v>
      </c>
      <c r="P89" s="59" t="s">
        <v>80</v>
      </c>
      <c r="Q89" s="59" t="s">
        <v>80</v>
      </c>
      <c r="R89" s="59" t="s">
        <v>81</v>
      </c>
      <c r="S89" s="59" t="s">
        <v>81</v>
      </c>
      <c r="T89" s="59" t="s">
        <v>80</v>
      </c>
      <c r="U89" s="59" t="s">
        <v>80</v>
      </c>
      <c r="V89" s="59" t="s">
        <v>80</v>
      </c>
      <c r="W89" s="59" t="s">
        <v>81</v>
      </c>
      <c r="X89" s="59" t="s">
        <v>81</v>
      </c>
      <c r="Y89" s="59" t="s">
        <v>80</v>
      </c>
      <c r="Z89" s="59" t="s">
        <v>80</v>
      </c>
      <c r="AA89" s="59" t="s">
        <v>80</v>
      </c>
      <c r="AB89" s="59" t="s">
        <v>81</v>
      </c>
      <c r="AC89" s="59" t="s">
        <v>81</v>
      </c>
      <c r="AD89" s="59" t="s">
        <v>80</v>
      </c>
      <c r="AE89" s="59" t="s">
        <v>80</v>
      </c>
      <c r="AF89" s="59" t="s">
        <v>80</v>
      </c>
      <c r="AG89" s="59" t="s">
        <v>81</v>
      </c>
      <c r="AH89" s="59" t="s">
        <v>81</v>
      </c>
      <c r="AI89" s="59" t="s">
        <v>80</v>
      </c>
      <c r="AJ89" s="59" t="s">
        <v>80</v>
      </c>
      <c r="AK89" s="59" t="s">
        <v>80</v>
      </c>
      <c r="AL89" s="59" t="s">
        <v>81</v>
      </c>
      <c r="AM89" s="59" t="s">
        <v>81</v>
      </c>
      <c r="AN89" s="59" t="s">
        <v>80</v>
      </c>
      <c r="AO89" s="59" t="s">
        <v>80</v>
      </c>
      <c r="AP89" s="59" t="s">
        <v>80</v>
      </c>
      <c r="AQ89" s="59" t="s">
        <v>81</v>
      </c>
      <c r="AR89" s="59" t="s">
        <v>81</v>
      </c>
      <c r="AS89" s="60" t="s">
        <v>80</v>
      </c>
    </row>
    <row r="90" spans="1:45">
      <c r="A90" s="57" t="s">
        <v>1380</v>
      </c>
      <c r="B90" s="57" t="s">
        <v>228</v>
      </c>
      <c r="C90" s="57" t="s">
        <v>229</v>
      </c>
      <c r="D90" s="57" t="s">
        <v>75</v>
      </c>
      <c r="E90" s="57" t="s">
        <v>1405</v>
      </c>
      <c r="F90" s="57" t="s">
        <v>76</v>
      </c>
      <c r="G90" s="57" t="s">
        <v>90</v>
      </c>
      <c r="H90" s="57" t="s">
        <v>103</v>
      </c>
      <c r="I90" s="57" t="s">
        <v>116</v>
      </c>
      <c r="J90" s="57" t="s">
        <v>90</v>
      </c>
      <c r="K90" s="57" t="s">
        <v>103</v>
      </c>
      <c r="L90" s="57" t="s">
        <v>116</v>
      </c>
      <c r="M90" s="57" t="s">
        <v>80</v>
      </c>
      <c r="N90" s="57" t="s">
        <v>80</v>
      </c>
      <c r="O90" s="57" t="s">
        <v>80</v>
      </c>
      <c r="P90" s="57" t="s">
        <v>80</v>
      </c>
      <c r="Q90" s="57" t="s">
        <v>80</v>
      </c>
      <c r="R90" s="57" t="s">
        <v>81</v>
      </c>
      <c r="S90" s="57" t="s">
        <v>81</v>
      </c>
      <c r="T90" s="57" t="s">
        <v>80</v>
      </c>
      <c r="U90" s="57" t="s">
        <v>80</v>
      </c>
      <c r="V90" s="57" t="s">
        <v>80</v>
      </c>
      <c r="W90" s="57" t="s">
        <v>81</v>
      </c>
      <c r="X90" s="57" t="s">
        <v>81</v>
      </c>
      <c r="Y90" s="57" t="s">
        <v>80</v>
      </c>
      <c r="Z90" s="57" t="s">
        <v>80</v>
      </c>
      <c r="AA90" s="57" t="s">
        <v>80</v>
      </c>
      <c r="AB90" s="57" t="s">
        <v>81</v>
      </c>
      <c r="AC90" s="57" t="s">
        <v>81</v>
      </c>
      <c r="AD90" s="57" t="s">
        <v>80</v>
      </c>
      <c r="AE90" s="57" t="s">
        <v>80</v>
      </c>
      <c r="AF90" s="57" t="s">
        <v>80</v>
      </c>
      <c r="AG90" s="57" t="s">
        <v>81</v>
      </c>
      <c r="AH90" s="57" t="s">
        <v>81</v>
      </c>
      <c r="AI90" s="57" t="s">
        <v>80</v>
      </c>
      <c r="AJ90" s="57" t="s">
        <v>80</v>
      </c>
      <c r="AK90" s="57" t="s">
        <v>80</v>
      </c>
      <c r="AL90" s="57" t="s">
        <v>81</v>
      </c>
      <c r="AM90" s="57" t="s">
        <v>81</v>
      </c>
      <c r="AN90" s="57" t="s">
        <v>80</v>
      </c>
      <c r="AO90" s="57" t="s">
        <v>80</v>
      </c>
      <c r="AP90" s="57" t="s">
        <v>80</v>
      </c>
      <c r="AQ90" s="57" t="s">
        <v>81</v>
      </c>
      <c r="AR90" s="57" t="s">
        <v>81</v>
      </c>
      <c r="AS90" s="58" t="s">
        <v>80</v>
      </c>
    </row>
    <row r="91" spans="1:45">
      <c r="A91" s="59" t="s">
        <v>1380</v>
      </c>
      <c r="B91" s="59" t="s">
        <v>1427</v>
      </c>
      <c r="C91" s="59" t="s">
        <v>1175</v>
      </c>
      <c r="D91" s="59" t="s">
        <v>75</v>
      </c>
      <c r="E91" s="59" t="s">
        <v>452</v>
      </c>
      <c r="F91" s="59" t="s">
        <v>76</v>
      </c>
      <c r="G91" s="59" t="s">
        <v>90</v>
      </c>
      <c r="H91" s="59" t="s">
        <v>75</v>
      </c>
      <c r="I91" s="59" t="s">
        <v>79</v>
      </c>
      <c r="J91" s="59" t="s">
        <v>90</v>
      </c>
      <c r="K91" s="59" t="s">
        <v>75</v>
      </c>
      <c r="L91" s="59" t="s">
        <v>79</v>
      </c>
      <c r="M91" s="59" t="s">
        <v>80</v>
      </c>
      <c r="N91" s="59" t="s">
        <v>80</v>
      </c>
      <c r="O91" s="59" t="s">
        <v>80</v>
      </c>
      <c r="P91" s="59" t="s">
        <v>80</v>
      </c>
      <c r="Q91" s="59" t="s">
        <v>80</v>
      </c>
      <c r="R91" s="59" t="s">
        <v>81</v>
      </c>
      <c r="S91" s="59" t="s">
        <v>81</v>
      </c>
      <c r="T91" s="59" t="s">
        <v>80</v>
      </c>
      <c r="U91" s="59" t="s">
        <v>80</v>
      </c>
      <c r="V91" s="59" t="s">
        <v>80</v>
      </c>
      <c r="W91" s="59" t="s">
        <v>81</v>
      </c>
      <c r="X91" s="59" t="s">
        <v>81</v>
      </c>
      <c r="Y91" s="59" t="s">
        <v>80</v>
      </c>
      <c r="Z91" s="59" t="s">
        <v>80</v>
      </c>
      <c r="AA91" s="59" t="s">
        <v>80</v>
      </c>
      <c r="AB91" s="59" t="s">
        <v>81</v>
      </c>
      <c r="AC91" s="59" t="s">
        <v>81</v>
      </c>
      <c r="AD91" s="59" t="s">
        <v>80</v>
      </c>
      <c r="AE91" s="59" t="s">
        <v>80</v>
      </c>
      <c r="AF91" s="59" t="s">
        <v>80</v>
      </c>
      <c r="AG91" s="59" t="s">
        <v>81</v>
      </c>
      <c r="AH91" s="59" t="s">
        <v>81</v>
      </c>
      <c r="AI91" s="59" t="s">
        <v>80</v>
      </c>
      <c r="AJ91" s="59" t="s">
        <v>80</v>
      </c>
      <c r="AK91" s="59" t="s">
        <v>80</v>
      </c>
      <c r="AL91" s="59" t="s">
        <v>81</v>
      </c>
      <c r="AM91" s="59" t="s">
        <v>81</v>
      </c>
      <c r="AN91" s="59" t="s">
        <v>80</v>
      </c>
      <c r="AO91" s="59" t="s">
        <v>80</v>
      </c>
      <c r="AP91" s="59" t="s">
        <v>80</v>
      </c>
      <c r="AQ91" s="59" t="s">
        <v>81</v>
      </c>
      <c r="AR91" s="59" t="s">
        <v>81</v>
      </c>
      <c r="AS91" s="60" t="s">
        <v>80</v>
      </c>
    </row>
    <row r="92" spans="1:45">
      <c r="A92" s="57" t="s">
        <v>1380</v>
      </c>
      <c r="B92" s="57" t="s">
        <v>459</v>
      </c>
      <c r="C92" s="57" t="s">
        <v>460</v>
      </c>
      <c r="D92" s="57" t="s">
        <v>75</v>
      </c>
      <c r="E92" s="57" t="s">
        <v>415</v>
      </c>
      <c r="F92" s="57" t="s">
        <v>76</v>
      </c>
      <c r="G92" s="57" t="s">
        <v>82</v>
      </c>
      <c r="H92" s="57" t="s">
        <v>75</v>
      </c>
      <c r="I92" s="57" t="s">
        <v>75</v>
      </c>
      <c r="J92" s="57" t="s">
        <v>82</v>
      </c>
      <c r="K92" s="57" t="s">
        <v>75</v>
      </c>
      <c r="L92" s="57" t="s">
        <v>75</v>
      </c>
      <c r="M92" s="57" t="s">
        <v>80</v>
      </c>
      <c r="N92" s="57" t="s">
        <v>80</v>
      </c>
      <c r="O92" s="57" t="s">
        <v>80</v>
      </c>
      <c r="P92" s="57" t="s">
        <v>80</v>
      </c>
      <c r="Q92" s="57" t="s">
        <v>80</v>
      </c>
      <c r="R92" s="57" t="s">
        <v>81</v>
      </c>
      <c r="S92" s="57" t="s">
        <v>81</v>
      </c>
      <c r="T92" s="57" t="s">
        <v>80</v>
      </c>
      <c r="U92" s="57" t="s">
        <v>80</v>
      </c>
      <c r="V92" s="57" t="s">
        <v>80</v>
      </c>
      <c r="W92" s="57" t="s">
        <v>81</v>
      </c>
      <c r="X92" s="57" t="s">
        <v>81</v>
      </c>
      <c r="Y92" s="57" t="s">
        <v>80</v>
      </c>
      <c r="Z92" s="57" t="s">
        <v>80</v>
      </c>
      <c r="AA92" s="57" t="s">
        <v>80</v>
      </c>
      <c r="AB92" s="57" t="s">
        <v>81</v>
      </c>
      <c r="AC92" s="57" t="s">
        <v>81</v>
      </c>
      <c r="AD92" s="57" t="s">
        <v>80</v>
      </c>
      <c r="AE92" s="57" t="s">
        <v>80</v>
      </c>
      <c r="AF92" s="57" t="s">
        <v>80</v>
      </c>
      <c r="AG92" s="57" t="s">
        <v>81</v>
      </c>
      <c r="AH92" s="57" t="s">
        <v>81</v>
      </c>
      <c r="AI92" s="57" t="s">
        <v>80</v>
      </c>
      <c r="AJ92" s="57" t="s">
        <v>80</v>
      </c>
      <c r="AK92" s="57" t="s">
        <v>80</v>
      </c>
      <c r="AL92" s="57" t="s">
        <v>81</v>
      </c>
      <c r="AM92" s="57" t="s">
        <v>81</v>
      </c>
      <c r="AN92" s="57" t="s">
        <v>80</v>
      </c>
      <c r="AO92" s="57" t="s">
        <v>80</v>
      </c>
      <c r="AP92" s="57" t="s">
        <v>80</v>
      </c>
      <c r="AQ92" s="57" t="s">
        <v>81</v>
      </c>
      <c r="AR92" s="57" t="s">
        <v>81</v>
      </c>
      <c r="AS92" s="58" t="s">
        <v>80</v>
      </c>
    </row>
    <row r="93" spans="1:45">
      <c r="A93" s="59" t="s">
        <v>1380</v>
      </c>
      <c r="B93" s="59" t="s">
        <v>461</v>
      </c>
      <c r="C93" s="59" t="s">
        <v>462</v>
      </c>
      <c r="D93" s="59" t="s">
        <v>75</v>
      </c>
      <c r="E93" s="59" t="s">
        <v>434</v>
      </c>
      <c r="F93" s="59" t="s">
        <v>76</v>
      </c>
      <c r="G93" s="59" t="s">
        <v>82</v>
      </c>
      <c r="H93" s="59" t="s">
        <v>75</v>
      </c>
      <c r="I93" s="59" t="s">
        <v>75</v>
      </c>
      <c r="J93" s="59" t="s">
        <v>82</v>
      </c>
      <c r="K93" s="59" t="s">
        <v>75</v>
      </c>
      <c r="L93" s="59" t="s">
        <v>75</v>
      </c>
      <c r="M93" s="59" t="s">
        <v>80</v>
      </c>
      <c r="N93" s="59" t="s">
        <v>80</v>
      </c>
      <c r="O93" s="59" t="s">
        <v>80</v>
      </c>
      <c r="P93" s="59" t="s">
        <v>80</v>
      </c>
      <c r="Q93" s="59" t="s">
        <v>80</v>
      </c>
      <c r="R93" s="59" t="s">
        <v>81</v>
      </c>
      <c r="S93" s="59" t="s">
        <v>81</v>
      </c>
      <c r="T93" s="59" t="s">
        <v>80</v>
      </c>
      <c r="U93" s="59" t="s">
        <v>80</v>
      </c>
      <c r="V93" s="59" t="s">
        <v>80</v>
      </c>
      <c r="W93" s="59" t="s">
        <v>81</v>
      </c>
      <c r="X93" s="59" t="s">
        <v>81</v>
      </c>
      <c r="Y93" s="59" t="s">
        <v>80</v>
      </c>
      <c r="Z93" s="59" t="s">
        <v>80</v>
      </c>
      <c r="AA93" s="59" t="s">
        <v>80</v>
      </c>
      <c r="AB93" s="59" t="s">
        <v>81</v>
      </c>
      <c r="AC93" s="59" t="s">
        <v>81</v>
      </c>
      <c r="AD93" s="59" t="s">
        <v>80</v>
      </c>
      <c r="AE93" s="59" t="s">
        <v>80</v>
      </c>
      <c r="AF93" s="59" t="s">
        <v>80</v>
      </c>
      <c r="AG93" s="59" t="s">
        <v>81</v>
      </c>
      <c r="AH93" s="59" t="s">
        <v>81</v>
      </c>
      <c r="AI93" s="59" t="s">
        <v>80</v>
      </c>
      <c r="AJ93" s="59" t="s">
        <v>80</v>
      </c>
      <c r="AK93" s="59" t="s">
        <v>80</v>
      </c>
      <c r="AL93" s="59" t="s">
        <v>81</v>
      </c>
      <c r="AM93" s="59" t="s">
        <v>81</v>
      </c>
      <c r="AN93" s="59" t="s">
        <v>80</v>
      </c>
      <c r="AO93" s="59" t="s">
        <v>80</v>
      </c>
      <c r="AP93" s="59" t="s">
        <v>80</v>
      </c>
      <c r="AQ93" s="59" t="s">
        <v>81</v>
      </c>
      <c r="AR93" s="59" t="s">
        <v>81</v>
      </c>
      <c r="AS93" s="60" t="s">
        <v>80</v>
      </c>
    </row>
    <row r="94" spans="1:45">
      <c r="A94" s="57" t="s">
        <v>1380</v>
      </c>
      <c r="B94" s="57" t="s">
        <v>230</v>
      </c>
      <c r="C94" s="57" t="s">
        <v>231</v>
      </c>
      <c r="D94" s="57" t="s">
        <v>75</v>
      </c>
      <c r="E94" s="57" t="s">
        <v>415</v>
      </c>
      <c r="F94" s="57" t="s">
        <v>76</v>
      </c>
      <c r="G94" s="57" t="s">
        <v>162</v>
      </c>
      <c r="H94" s="57" t="s">
        <v>210</v>
      </c>
      <c r="I94" s="57" t="s">
        <v>79</v>
      </c>
      <c r="J94" s="57" t="s">
        <v>162</v>
      </c>
      <c r="K94" s="57" t="s">
        <v>210</v>
      </c>
      <c r="L94" s="57" t="s">
        <v>79</v>
      </c>
      <c r="M94" s="57" t="s">
        <v>80</v>
      </c>
      <c r="N94" s="57" t="s">
        <v>80</v>
      </c>
      <c r="O94" s="57" t="s">
        <v>80</v>
      </c>
      <c r="P94" s="57" t="s">
        <v>80</v>
      </c>
      <c r="Q94" s="57" t="s">
        <v>80</v>
      </c>
      <c r="R94" s="57" t="s">
        <v>81</v>
      </c>
      <c r="S94" s="57" t="s">
        <v>81</v>
      </c>
      <c r="T94" s="57" t="s">
        <v>80</v>
      </c>
      <c r="U94" s="57" t="s">
        <v>80</v>
      </c>
      <c r="V94" s="57" t="s">
        <v>80</v>
      </c>
      <c r="W94" s="57" t="s">
        <v>81</v>
      </c>
      <c r="X94" s="57" t="s">
        <v>81</v>
      </c>
      <c r="Y94" s="57" t="s">
        <v>80</v>
      </c>
      <c r="Z94" s="57" t="s">
        <v>80</v>
      </c>
      <c r="AA94" s="57" t="s">
        <v>80</v>
      </c>
      <c r="AB94" s="57" t="s">
        <v>81</v>
      </c>
      <c r="AC94" s="57" t="s">
        <v>81</v>
      </c>
      <c r="AD94" s="57" t="s">
        <v>80</v>
      </c>
      <c r="AE94" s="57" t="s">
        <v>80</v>
      </c>
      <c r="AF94" s="57" t="s">
        <v>80</v>
      </c>
      <c r="AG94" s="57" t="s">
        <v>81</v>
      </c>
      <c r="AH94" s="57" t="s">
        <v>81</v>
      </c>
      <c r="AI94" s="57" t="s">
        <v>80</v>
      </c>
      <c r="AJ94" s="57" t="s">
        <v>80</v>
      </c>
      <c r="AK94" s="57" t="s">
        <v>80</v>
      </c>
      <c r="AL94" s="57" t="s">
        <v>81</v>
      </c>
      <c r="AM94" s="57" t="s">
        <v>81</v>
      </c>
      <c r="AN94" s="57" t="s">
        <v>80</v>
      </c>
      <c r="AO94" s="57" t="s">
        <v>80</v>
      </c>
      <c r="AP94" s="57" t="s">
        <v>80</v>
      </c>
      <c r="AQ94" s="57" t="s">
        <v>81</v>
      </c>
      <c r="AR94" s="57" t="s">
        <v>81</v>
      </c>
      <c r="AS94" s="58" t="s">
        <v>80</v>
      </c>
    </row>
    <row r="95" spans="1:45">
      <c r="A95" s="59" t="s">
        <v>1380</v>
      </c>
      <c r="B95" s="59" t="s">
        <v>233</v>
      </c>
      <c r="C95" s="59" t="s">
        <v>234</v>
      </c>
      <c r="D95" s="59" t="s">
        <v>75</v>
      </c>
      <c r="E95" s="59" t="s">
        <v>124</v>
      </c>
      <c r="F95" s="59" t="s">
        <v>76</v>
      </c>
      <c r="G95" s="59" t="s">
        <v>203</v>
      </c>
      <c r="H95" s="59" t="s">
        <v>204</v>
      </c>
      <c r="I95" s="59" t="s">
        <v>79</v>
      </c>
      <c r="J95" s="59" t="s">
        <v>203</v>
      </c>
      <c r="K95" s="59" t="s">
        <v>204</v>
      </c>
      <c r="L95" s="59" t="s">
        <v>79</v>
      </c>
      <c r="M95" s="59" t="s">
        <v>80</v>
      </c>
      <c r="N95" s="59" t="s">
        <v>80</v>
      </c>
      <c r="O95" s="59" t="s">
        <v>80</v>
      </c>
      <c r="P95" s="59" t="s">
        <v>80</v>
      </c>
      <c r="Q95" s="59" t="s">
        <v>80</v>
      </c>
      <c r="R95" s="59" t="s">
        <v>81</v>
      </c>
      <c r="S95" s="59" t="s">
        <v>81</v>
      </c>
      <c r="T95" s="59" t="s">
        <v>80</v>
      </c>
      <c r="U95" s="59" t="s">
        <v>80</v>
      </c>
      <c r="V95" s="59" t="s">
        <v>80</v>
      </c>
      <c r="W95" s="59" t="s">
        <v>81</v>
      </c>
      <c r="X95" s="59" t="s">
        <v>81</v>
      </c>
      <c r="Y95" s="59" t="s">
        <v>80</v>
      </c>
      <c r="Z95" s="59" t="s">
        <v>80</v>
      </c>
      <c r="AA95" s="59" t="s">
        <v>80</v>
      </c>
      <c r="AB95" s="59" t="s">
        <v>81</v>
      </c>
      <c r="AC95" s="59" t="s">
        <v>81</v>
      </c>
      <c r="AD95" s="59" t="s">
        <v>80</v>
      </c>
      <c r="AE95" s="59" t="s">
        <v>80</v>
      </c>
      <c r="AF95" s="59" t="s">
        <v>80</v>
      </c>
      <c r="AG95" s="59" t="s">
        <v>81</v>
      </c>
      <c r="AH95" s="59" t="s">
        <v>81</v>
      </c>
      <c r="AI95" s="59" t="s">
        <v>80</v>
      </c>
      <c r="AJ95" s="59" t="s">
        <v>80</v>
      </c>
      <c r="AK95" s="59" t="s">
        <v>80</v>
      </c>
      <c r="AL95" s="59" t="s">
        <v>81</v>
      </c>
      <c r="AM95" s="59" t="s">
        <v>81</v>
      </c>
      <c r="AN95" s="59" t="s">
        <v>80</v>
      </c>
      <c r="AO95" s="59" t="s">
        <v>80</v>
      </c>
      <c r="AP95" s="59" t="s">
        <v>80</v>
      </c>
      <c r="AQ95" s="59" t="s">
        <v>81</v>
      </c>
      <c r="AR95" s="59" t="s">
        <v>81</v>
      </c>
      <c r="AS95" s="60" t="s">
        <v>80</v>
      </c>
    </row>
    <row r="96" spans="1:45">
      <c r="A96" s="57" t="s">
        <v>1380</v>
      </c>
      <c r="B96" s="57" t="s">
        <v>463</v>
      </c>
      <c r="C96" s="57" t="s">
        <v>464</v>
      </c>
      <c r="D96" s="57" t="s">
        <v>75</v>
      </c>
      <c r="E96" s="57" t="s">
        <v>232</v>
      </c>
      <c r="F96" s="57" t="s">
        <v>76</v>
      </c>
      <c r="G96" s="57" t="s">
        <v>90</v>
      </c>
      <c r="H96" s="57" t="s">
        <v>103</v>
      </c>
      <c r="I96" s="57" t="s">
        <v>116</v>
      </c>
      <c r="J96" s="57" t="s">
        <v>90</v>
      </c>
      <c r="K96" s="57" t="s">
        <v>103</v>
      </c>
      <c r="L96" s="57" t="s">
        <v>116</v>
      </c>
      <c r="M96" s="57" t="s">
        <v>80</v>
      </c>
      <c r="N96" s="57" t="s">
        <v>80</v>
      </c>
      <c r="O96" s="57" t="s">
        <v>80</v>
      </c>
      <c r="P96" s="57" t="s">
        <v>80</v>
      </c>
      <c r="Q96" s="57" t="s">
        <v>80</v>
      </c>
      <c r="R96" s="57" t="s">
        <v>81</v>
      </c>
      <c r="S96" s="57" t="s">
        <v>81</v>
      </c>
      <c r="T96" s="57" t="s">
        <v>80</v>
      </c>
      <c r="U96" s="57" t="s">
        <v>80</v>
      </c>
      <c r="V96" s="57" t="s">
        <v>80</v>
      </c>
      <c r="W96" s="57" t="s">
        <v>81</v>
      </c>
      <c r="X96" s="57" t="s">
        <v>81</v>
      </c>
      <c r="Y96" s="57" t="s">
        <v>80</v>
      </c>
      <c r="Z96" s="57" t="s">
        <v>80</v>
      </c>
      <c r="AA96" s="57" t="s">
        <v>80</v>
      </c>
      <c r="AB96" s="57" t="s">
        <v>81</v>
      </c>
      <c r="AC96" s="57" t="s">
        <v>81</v>
      </c>
      <c r="AD96" s="57" t="s">
        <v>80</v>
      </c>
      <c r="AE96" s="57" t="s">
        <v>80</v>
      </c>
      <c r="AF96" s="57" t="s">
        <v>80</v>
      </c>
      <c r="AG96" s="57" t="s">
        <v>81</v>
      </c>
      <c r="AH96" s="57" t="s">
        <v>81</v>
      </c>
      <c r="AI96" s="57" t="s">
        <v>80</v>
      </c>
      <c r="AJ96" s="57" t="s">
        <v>80</v>
      </c>
      <c r="AK96" s="57" t="s">
        <v>80</v>
      </c>
      <c r="AL96" s="57" t="s">
        <v>81</v>
      </c>
      <c r="AM96" s="57" t="s">
        <v>81</v>
      </c>
      <c r="AN96" s="57" t="s">
        <v>80</v>
      </c>
      <c r="AO96" s="57" t="s">
        <v>80</v>
      </c>
      <c r="AP96" s="57" t="s">
        <v>80</v>
      </c>
      <c r="AQ96" s="57" t="s">
        <v>81</v>
      </c>
      <c r="AR96" s="57" t="s">
        <v>81</v>
      </c>
      <c r="AS96" s="58" t="s">
        <v>80</v>
      </c>
    </row>
    <row r="97" spans="1:45">
      <c r="A97" s="59" t="s">
        <v>1380</v>
      </c>
      <c r="B97" s="59" t="s">
        <v>235</v>
      </c>
      <c r="C97" s="59" t="s">
        <v>236</v>
      </c>
      <c r="D97" s="59" t="s">
        <v>75</v>
      </c>
      <c r="E97" s="59" t="s">
        <v>104</v>
      </c>
      <c r="F97" s="59" t="s">
        <v>76</v>
      </c>
      <c r="G97" s="59" t="s">
        <v>115</v>
      </c>
      <c r="H97" s="59" t="s">
        <v>91</v>
      </c>
      <c r="I97" s="59" t="s">
        <v>79</v>
      </c>
      <c r="J97" s="59" t="s">
        <v>115</v>
      </c>
      <c r="K97" s="59" t="s">
        <v>91</v>
      </c>
      <c r="L97" s="59" t="s">
        <v>79</v>
      </c>
      <c r="M97" s="59" t="s">
        <v>80</v>
      </c>
      <c r="N97" s="59" t="s">
        <v>80</v>
      </c>
      <c r="O97" s="59" t="s">
        <v>80</v>
      </c>
      <c r="P97" s="59" t="s">
        <v>80</v>
      </c>
      <c r="Q97" s="59" t="s">
        <v>80</v>
      </c>
      <c r="R97" s="59" t="s">
        <v>81</v>
      </c>
      <c r="S97" s="59" t="s">
        <v>81</v>
      </c>
      <c r="T97" s="59" t="s">
        <v>80</v>
      </c>
      <c r="U97" s="59" t="s">
        <v>80</v>
      </c>
      <c r="V97" s="59" t="s">
        <v>80</v>
      </c>
      <c r="W97" s="59" t="s">
        <v>81</v>
      </c>
      <c r="X97" s="59" t="s">
        <v>81</v>
      </c>
      <c r="Y97" s="59" t="s">
        <v>80</v>
      </c>
      <c r="Z97" s="59" t="s">
        <v>80</v>
      </c>
      <c r="AA97" s="59" t="s">
        <v>80</v>
      </c>
      <c r="AB97" s="59" t="s">
        <v>81</v>
      </c>
      <c r="AC97" s="59" t="s">
        <v>81</v>
      </c>
      <c r="AD97" s="59" t="s">
        <v>80</v>
      </c>
      <c r="AE97" s="59" t="s">
        <v>80</v>
      </c>
      <c r="AF97" s="59" t="s">
        <v>80</v>
      </c>
      <c r="AG97" s="59" t="s">
        <v>81</v>
      </c>
      <c r="AH97" s="59" t="s">
        <v>81</v>
      </c>
      <c r="AI97" s="59" t="s">
        <v>80</v>
      </c>
      <c r="AJ97" s="59" t="s">
        <v>80</v>
      </c>
      <c r="AK97" s="59" t="s">
        <v>80</v>
      </c>
      <c r="AL97" s="59" t="s">
        <v>81</v>
      </c>
      <c r="AM97" s="59" t="s">
        <v>81</v>
      </c>
      <c r="AN97" s="59" t="s">
        <v>80</v>
      </c>
      <c r="AO97" s="59" t="s">
        <v>80</v>
      </c>
      <c r="AP97" s="59" t="s">
        <v>80</v>
      </c>
      <c r="AQ97" s="59" t="s">
        <v>81</v>
      </c>
      <c r="AR97" s="59" t="s">
        <v>81</v>
      </c>
      <c r="AS97" s="60" t="s">
        <v>80</v>
      </c>
    </row>
    <row r="98" spans="1:45">
      <c r="A98" s="57" t="s">
        <v>1380</v>
      </c>
      <c r="B98" s="57" t="s">
        <v>465</v>
      </c>
      <c r="C98" s="57" t="s">
        <v>466</v>
      </c>
      <c r="D98" s="57" t="s">
        <v>75</v>
      </c>
      <c r="E98" s="57" t="s">
        <v>303</v>
      </c>
      <c r="F98" s="57" t="s">
        <v>76</v>
      </c>
      <c r="G98" s="57" t="s">
        <v>90</v>
      </c>
      <c r="H98" s="57" t="s">
        <v>103</v>
      </c>
      <c r="I98" s="57" t="s">
        <v>116</v>
      </c>
      <c r="J98" s="57" t="s">
        <v>90</v>
      </c>
      <c r="K98" s="57" t="s">
        <v>103</v>
      </c>
      <c r="L98" s="57" t="s">
        <v>116</v>
      </c>
      <c r="M98" s="57" t="s">
        <v>80</v>
      </c>
      <c r="N98" s="57" t="s">
        <v>80</v>
      </c>
      <c r="O98" s="57" t="s">
        <v>80</v>
      </c>
      <c r="P98" s="57" t="s">
        <v>80</v>
      </c>
      <c r="Q98" s="57" t="s">
        <v>80</v>
      </c>
      <c r="R98" s="57" t="s">
        <v>81</v>
      </c>
      <c r="S98" s="57" t="s">
        <v>81</v>
      </c>
      <c r="T98" s="57" t="s">
        <v>80</v>
      </c>
      <c r="U98" s="57" t="s">
        <v>80</v>
      </c>
      <c r="V98" s="57" t="s">
        <v>80</v>
      </c>
      <c r="W98" s="57" t="s">
        <v>81</v>
      </c>
      <c r="X98" s="57" t="s">
        <v>81</v>
      </c>
      <c r="Y98" s="57" t="s">
        <v>80</v>
      </c>
      <c r="Z98" s="57" t="s">
        <v>80</v>
      </c>
      <c r="AA98" s="57" t="s">
        <v>80</v>
      </c>
      <c r="AB98" s="57" t="s">
        <v>81</v>
      </c>
      <c r="AC98" s="57" t="s">
        <v>81</v>
      </c>
      <c r="AD98" s="57" t="s">
        <v>80</v>
      </c>
      <c r="AE98" s="57" t="s">
        <v>80</v>
      </c>
      <c r="AF98" s="57" t="s">
        <v>80</v>
      </c>
      <c r="AG98" s="57" t="s">
        <v>81</v>
      </c>
      <c r="AH98" s="57" t="s">
        <v>81</v>
      </c>
      <c r="AI98" s="57" t="s">
        <v>80</v>
      </c>
      <c r="AJ98" s="57" t="s">
        <v>80</v>
      </c>
      <c r="AK98" s="57" t="s">
        <v>80</v>
      </c>
      <c r="AL98" s="57" t="s">
        <v>81</v>
      </c>
      <c r="AM98" s="57" t="s">
        <v>81</v>
      </c>
      <c r="AN98" s="57" t="s">
        <v>80</v>
      </c>
      <c r="AO98" s="57" t="s">
        <v>80</v>
      </c>
      <c r="AP98" s="57" t="s">
        <v>80</v>
      </c>
      <c r="AQ98" s="57" t="s">
        <v>81</v>
      </c>
      <c r="AR98" s="57" t="s">
        <v>81</v>
      </c>
      <c r="AS98" s="58" t="s">
        <v>80</v>
      </c>
    </row>
    <row r="99" spans="1:45">
      <c r="A99" s="59" t="s">
        <v>1380</v>
      </c>
      <c r="B99" s="59" t="s">
        <v>467</v>
      </c>
      <c r="C99" s="59" t="s">
        <v>468</v>
      </c>
      <c r="D99" s="59" t="s">
        <v>75</v>
      </c>
      <c r="E99" s="59" t="s">
        <v>173</v>
      </c>
      <c r="F99" s="59" t="s">
        <v>76</v>
      </c>
      <c r="G99" s="59" t="s">
        <v>82</v>
      </c>
      <c r="H99" s="59" t="s">
        <v>79</v>
      </c>
      <c r="I99" s="59" t="s">
        <v>79</v>
      </c>
      <c r="J99" s="59" t="s">
        <v>82</v>
      </c>
      <c r="K99" s="59" t="s">
        <v>79</v>
      </c>
      <c r="L99" s="59" t="s">
        <v>79</v>
      </c>
      <c r="M99" s="59" t="s">
        <v>80</v>
      </c>
      <c r="N99" s="59" t="s">
        <v>80</v>
      </c>
      <c r="O99" s="59" t="s">
        <v>80</v>
      </c>
      <c r="P99" s="59" t="s">
        <v>80</v>
      </c>
      <c r="Q99" s="59" t="s">
        <v>80</v>
      </c>
      <c r="R99" s="59" t="s">
        <v>81</v>
      </c>
      <c r="S99" s="59" t="s">
        <v>81</v>
      </c>
      <c r="T99" s="59" t="s">
        <v>80</v>
      </c>
      <c r="U99" s="59" t="s">
        <v>80</v>
      </c>
      <c r="V99" s="59" t="s">
        <v>80</v>
      </c>
      <c r="W99" s="59" t="s">
        <v>81</v>
      </c>
      <c r="X99" s="59" t="s">
        <v>81</v>
      </c>
      <c r="Y99" s="59" t="s">
        <v>80</v>
      </c>
      <c r="Z99" s="59" t="s">
        <v>80</v>
      </c>
      <c r="AA99" s="59" t="s">
        <v>80</v>
      </c>
      <c r="AB99" s="59" t="s">
        <v>81</v>
      </c>
      <c r="AC99" s="59" t="s">
        <v>81</v>
      </c>
      <c r="AD99" s="59" t="s">
        <v>80</v>
      </c>
      <c r="AE99" s="59" t="s">
        <v>80</v>
      </c>
      <c r="AF99" s="59" t="s">
        <v>80</v>
      </c>
      <c r="AG99" s="59" t="s">
        <v>81</v>
      </c>
      <c r="AH99" s="59" t="s">
        <v>81</v>
      </c>
      <c r="AI99" s="59" t="s">
        <v>80</v>
      </c>
      <c r="AJ99" s="59" t="s">
        <v>80</v>
      </c>
      <c r="AK99" s="59" t="s">
        <v>80</v>
      </c>
      <c r="AL99" s="59" t="s">
        <v>81</v>
      </c>
      <c r="AM99" s="59" t="s">
        <v>81</v>
      </c>
      <c r="AN99" s="59" t="s">
        <v>80</v>
      </c>
      <c r="AO99" s="59" t="s">
        <v>80</v>
      </c>
      <c r="AP99" s="59" t="s">
        <v>80</v>
      </c>
      <c r="AQ99" s="59" t="s">
        <v>81</v>
      </c>
      <c r="AR99" s="59" t="s">
        <v>81</v>
      </c>
      <c r="AS99" s="60" t="s">
        <v>80</v>
      </c>
    </row>
    <row r="100" spans="1:45">
      <c r="A100" s="57" t="s">
        <v>1380</v>
      </c>
      <c r="B100" s="57" t="s">
        <v>237</v>
      </c>
      <c r="C100" s="57" t="s">
        <v>238</v>
      </c>
      <c r="D100" s="57" t="s">
        <v>75</v>
      </c>
      <c r="E100" s="57" t="s">
        <v>198</v>
      </c>
      <c r="F100" s="57" t="s">
        <v>76</v>
      </c>
      <c r="G100" s="57" t="s">
        <v>431</v>
      </c>
      <c r="H100" s="57" t="s">
        <v>449</v>
      </c>
      <c r="I100" s="57" t="s">
        <v>88</v>
      </c>
      <c r="J100" s="57" t="s">
        <v>431</v>
      </c>
      <c r="K100" s="57" t="s">
        <v>449</v>
      </c>
      <c r="L100" s="57" t="s">
        <v>88</v>
      </c>
      <c r="M100" s="57" t="s">
        <v>80</v>
      </c>
      <c r="N100" s="57" t="s">
        <v>80</v>
      </c>
      <c r="O100" s="57" t="s">
        <v>80</v>
      </c>
      <c r="P100" s="57" t="s">
        <v>80</v>
      </c>
      <c r="Q100" s="57" t="s">
        <v>80</v>
      </c>
      <c r="R100" s="57" t="s">
        <v>81</v>
      </c>
      <c r="S100" s="57" t="s">
        <v>81</v>
      </c>
      <c r="T100" s="57" t="s">
        <v>80</v>
      </c>
      <c r="U100" s="57" t="s">
        <v>80</v>
      </c>
      <c r="V100" s="57" t="s">
        <v>80</v>
      </c>
      <c r="W100" s="57" t="s">
        <v>81</v>
      </c>
      <c r="X100" s="57" t="s">
        <v>81</v>
      </c>
      <c r="Y100" s="57" t="s">
        <v>80</v>
      </c>
      <c r="Z100" s="57" t="s">
        <v>80</v>
      </c>
      <c r="AA100" s="57" t="s">
        <v>80</v>
      </c>
      <c r="AB100" s="57" t="s">
        <v>81</v>
      </c>
      <c r="AC100" s="57" t="s">
        <v>81</v>
      </c>
      <c r="AD100" s="57" t="s">
        <v>80</v>
      </c>
      <c r="AE100" s="57" t="s">
        <v>80</v>
      </c>
      <c r="AF100" s="57" t="s">
        <v>80</v>
      </c>
      <c r="AG100" s="57" t="s">
        <v>81</v>
      </c>
      <c r="AH100" s="57" t="s">
        <v>81</v>
      </c>
      <c r="AI100" s="57" t="s">
        <v>80</v>
      </c>
      <c r="AJ100" s="57" t="s">
        <v>80</v>
      </c>
      <c r="AK100" s="57" t="s">
        <v>80</v>
      </c>
      <c r="AL100" s="57" t="s">
        <v>81</v>
      </c>
      <c r="AM100" s="57" t="s">
        <v>81</v>
      </c>
      <c r="AN100" s="57" t="s">
        <v>80</v>
      </c>
      <c r="AO100" s="57" t="s">
        <v>80</v>
      </c>
      <c r="AP100" s="57" t="s">
        <v>80</v>
      </c>
      <c r="AQ100" s="57" t="s">
        <v>81</v>
      </c>
      <c r="AR100" s="57" t="s">
        <v>81</v>
      </c>
      <c r="AS100" s="58" t="s">
        <v>80</v>
      </c>
    </row>
    <row r="101" spans="1:45">
      <c r="A101" s="59" t="s">
        <v>1380</v>
      </c>
      <c r="B101" s="59" t="s">
        <v>239</v>
      </c>
      <c r="C101" s="59" t="s">
        <v>240</v>
      </c>
      <c r="D101" s="59" t="s">
        <v>75</v>
      </c>
      <c r="E101" s="59" t="s">
        <v>83</v>
      </c>
      <c r="F101" s="59" t="s">
        <v>76</v>
      </c>
      <c r="G101" s="59" t="s">
        <v>126</v>
      </c>
      <c r="H101" s="59" t="s">
        <v>215</v>
      </c>
      <c r="I101" s="59" t="s">
        <v>79</v>
      </c>
      <c r="J101" s="59" t="s">
        <v>126</v>
      </c>
      <c r="K101" s="59" t="s">
        <v>215</v>
      </c>
      <c r="L101" s="59" t="s">
        <v>79</v>
      </c>
      <c r="M101" s="59" t="s">
        <v>80</v>
      </c>
      <c r="N101" s="59" t="s">
        <v>80</v>
      </c>
      <c r="O101" s="59" t="s">
        <v>80</v>
      </c>
      <c r="P101" s="59" t="s">
        <v>80</v>
      </c>
      <c r="Q101" s="59" t="s">
        <v>80</v>
      </c>
      <c r="R101" s="59" t="s">
        <v>81</v>
      </c>
      <c r="S101" s="59" t="s">
        <v>81</v>
      </c>
      <c r="T101" s="59" t="s">
        <v>80</v>
      </c>
      <c r="U101" s="59" t="s">
        <v>80</v>
      </c>
      <c r="V101" s="59" t="s">
        <v>80</v>
      </c>
      <c r="W101" s="59" t="s">
        <v>81</v>
      </c>
      <c r="X101" s="59" t="s">
        <v>81</v>
      </c>
      <c r="Y101" s="59" t="s">
        <v>80</v>
      </c>
      <c r="Z101" s="59" t="s">
        <v>80</v>
      </c>
      <c r="AA101" s="59" t="s">
        <v>80</v>
      </c>
      <c r="AB101" s="59" t="s">
        <v>81</v>
      </c>
      <c r="AC101" s="59" t="s">
        <v>81</v>
      </c>
      <c r="AD101" s="59" t="s">
        <v>80</v>
      </c>
      <c r="AE101" s="59" t="s">
        <v>80</v>
      </c>
      <c r="AF101" s="59" t="s">
        <v>80</v>
      </c>
      <c r="AG101" s="59" t="s">
        <v>81</v>
      </c>
      <c r="AH101" s="59" t="s">
        <v>81</v>
      </c>
      <c r="AI101" s="59" t="s">
        <v>80</v>
      </c>
      <c r="AJ101" s="59" t="s">
        <v>80</v>
      </c>
      <c r="AK101" s="59" t="s">
        <v>80</v>
      </c>
      <c r="AL101" s="59" t="s">
        <v>81</v>
      </c>
      <c r="AM101" s="59" t="s">
        <v>81</v>
      </c>
      <c r="AN101" s="59" t="s">
        <v>80</v>
      </c>
      <c r="AO101" s="59" t="s">
        <v>80</v>
      </c>
      <c r="AP101" s="59" t="s">
        <v>80</v>
      </c>
      <c r="AQ101" s="59" t="s">
        <v>81</v>
      </c>
      <c r="AR101" s="59" t="s">
        <v>81</v>
      </c>
      <c r="AS101" s="60" t="s">
        <v>80</v>
      </c>
    </row>
    <row r="102" spans="1:45">
      <c r="A102" s="57" t="s">
        <v>1380</v>
      </c>
      <c r="B102" s="57" t="s">
        <v>241</v>
      </c>
      <c r="C102" s="57" t="s">
        <v>242</v>
      </c>
      <c r="D102" s="57" t="s">
        <v>75</v>
      </c>
      <c r="E102" s="57" t="s">
        <v>81</v>
      </c>
      <c r="F102" s="57" t="s">
        <v>76</v>
      </c>
      <c r="G102" s="57" t="s">
        <v>105</v>
      </c>
      <c r="H102" s="57" t="s">
        <v>161</v>
      </c>
      <c r="I102" s="57" t="s">
        <v>79</v>
      </c>
      <c r="J102" s="57" t="s">
        <v>105</v>
      </c>
      <c r="K102" s="57" t="s">
        <v>161</v>
      </c>
      <c r="L102" s="57" t="s">
        <v>79</v>
      </c>
      <c r="M102" s="57" t="s">
        <v>80</v>
      </c>
      <c r="N102" s="57" t="s">
        <v>80</v>
      </c>
      <c r="O102" s="57" t="s">
        <v>80</v>
      </c>
      <c r="P102" s="57" t="s">
        <v>80</v>
      </c>
      <c r="Q102" s="57" t="s">
        <v>80</v>
      </c>
      <c r="R102" s="57" t="s">
        <v>81</v>
      </c>
      <c r="S102" s="57" t="s">
        <v>81</v>
      </c>
      <c r="T102" s="57" t="s">
        <v>80</v>
      </c>
      <c r="U102" s="57" t="s">
        <v>80</v>
      </c>
      <c r="V102" s="57" t="s">
        <v>80</v>
      </c>
      <c r="W102" s="57" t="s">
        <v>81</v>
      </c>
      <c r="X102" s="57" t="s">
        <v>81</v>
      </c>
      <c r="Y102" s="57" t="s">
        <v>80</v>
      </c>
      <c r="Z102" s="57" t="s">
        <v>80</v>
      </c>
      <c r="AA102" s="57" t="s">
        <v>80</v>
      </c>
      <c r="AB102" s="57" t="s">
        <v>81</v>
      </c>
      <c r="AC102" s="57" t="s">
        <v>81</v>
      </c>
      <c r="AD102" s="57" t="s">
        <v>80</v>
      </c>
      <c r="AE102" s="57" t="s">
        <v>80</v>
      </c>
      <c r="AF102" s="57" t="s">
        <v>80</v>
      </c>
      <c r="AG102" s="57" t="s">
        <v>81</v>
      </c>
      <c r="AH102" s="57" t="s">
        <v>81</v>
      </c>
      <c r="AI102" s="57" t="s">
        <v>80</v>
      </c>
      <c r="AJ102" s="57" t="s">
        <v>80</v>
      </c>
      <c r="AK102" s="57" t="s">
        <v>80</v>
      </c>
      <c r="AL102" s="57" t="s">
        <v>81</v>
      </c>
      <c r="AM102" s="57" t="s">
        <v>81</v>
      </c>
      <c r="AN102" s="57" t="s">
        <v>80</v>
      </c>
      <c r="AO102" s="57" t="s">
        <v>80</v>
      </c>
      <c r="AP102" s="57" t="s">
        <v>80</v>
      </c>
      <c r="AQ102" s="57" t="s">
        <v>81</v>
      </c>
      <c r="AR102" s="57" t="s">
        <v>81</v>
      </c>
      <c r="AS102" s="58" t="s">
        <v>80</v>
      </c>
    </row>
    <row r="103" spans="1:45">
      <c r="A103" s="59" t="s">
        <v>1380</v>
      </c>
      <c r="B103" s="59" t="s">
        <v>243</v>
      </c>
      <c r="C103" s="59" t="s">
        <v>244</v>
      </c>
      <c r="D103" s="59" t="s">
        <v>75</v>
      </c>
      <c r="E103" s="59" t="s">
        <v>81</v>
      </c>
      <c r="F103" s="59" t="s">
        <v>76</v>
      </c>
      <c r="G103" s="59" t="s">
        <v>84</v>
      </c>
      <c r="H103" s="59" t="s">
        <v>87</v>
      </c>
      <c r="I103" s="59" t="s">
        <v>79</v>
      </c>
      <c r="J103" s="59" t="s">
        <v>84</v>
      </c>
      <c r="K103" s="59" t="s">
        <v>87</v>
      </c>
      <c r="L103" s="59" t="s">
        <v>79</v>
      </c>
      <c r="M103" s="59" t="s">
        <v>80</v>
      </c>
      <c r="N103" s="59" t="s">
        <v>80</v>
      </c>
      <c r="O103" s="59" t="s">
        <v>80</v>
      </c>
      <c r="P103" s="59" t="s">
        <v>80</v>
      </c>
      <c r="Q103" s="59" t="s">
        <v>80</v>
      </c>
      <c r="R103" s="59" t="s">
        <v>81</v>
      </c>
      <c r="S103" s="59" t="s">
        <v>81</v>
      </c>
      <c r="T103" s="59" t="s">
        <v>80</v>
      </c>
      <c r="U103" s="59" t="s">
        <v>80</v>
      </c>
      <c r="V103" s="59" t="s">
        <v>80</v>
      </c>
      <c r="W103" s="59" t="s">
        <v>81</v>
      </c>
      <c r="X103" s="59" t="s">
        <v>81</v>
      </c>
      <c r="Y103" s="59" t="s">
        <v>80</v>
      </c>
      <c r="Z103" s="59" t="s">
        <v>80</v>
      </c>
      <c r="AA103" s="59" t="s">
        <v>80</v>
      </c>
      <c r="AB103" s="59" t="s">
        <v>81</v>
      </c>
      <c r="AC103" s="59" t="s">
        <v>81</v>
      </c>
      <c r="AD103" s="59" t="s">
        <v>80</v>
      </c>
      <c r="AE103" s="59" t="s">
        <v>80</v>
      </c>
      <c r="AF103" s="59" t="s">
        <v>80</v>
      </c>
      <c r="AG103" s="59" t="s">
        <v>81</v>
      </c>
      <c r="AH103" s="59" t="s">
        <v>81</v>
      </c>
      <c r="AI103" s="59" t="s">
        <v>80</v>
      </c>
      <c r="AJ103" s="59" t="s">
        <v>80</v>
      </c>
      <c r="AK103" s="59" t="s">
        <v>80</v>
      </c>
      <c r="AL103" s="59" t="s">
        <v>81</v>
      </c>
      <c r="AM103" s="59" t="s">
        <v>81</v>
      </c>
      <c r="AN103" s="59" t="s">
        <v>80</v>
      </c>
      <c r="AO103" s="59" t="s">
        <v>80</v>
      </c>
      <c r="AP103" s="59" t="s">
        <v>80</v>
      </c>
      <c r="AQ103" s="59" t="s">
        <v>81</v>
      </c>
      <c r="AR103" s="59" t="s">
        <v>81</v>
      </c>
      <c r="AS103" s="60" t="s">
        <v>80</v>
      </c>
    </row>
    <row r="104" spans="1:45">
      <c r="A104" s="57" t="s">
        <v>1380</v>
      </c>
      <c r="B104" s="57" t="s">
        <v>469</v>
      </c>
      <c r="C104" s="57" t="s">
        <v>470</v>
      </c>
      <c r="D104" s="57" t="s">
        <v>75</v>
      </c>
      <c r="E104" s="57" t="s">
        <v>81</v>
      </c>
      <c r="F104" s="57" t="s">
        <v>76</v>
      </c>
      <c r="G104" s="57" t="s">
        <v>82</v>
      </c>
      <c r="H104" s="57" t="s">
        <v>79</v>
      </c>
      <c r="I104" s="57" t="s">
        <v>79</v>
      </c>
      <c r="J104" s="57" t="s">
        <v>82</v>
      </c>
      <c r="K104" s="57" t="s">
        <v>79</v>
      </c>
      <c r="L104" s="57" t="s">
        <v>79</v>
      </c>
      <c r="M104" s="57" t="s">
        <v>80</v>
      </c>
      <c r="N104" s="57" t="s">
        <v>80</v>
      </c>
      <c r="O104" s="57" t="s">
        <v>80</v>
      </c>
      <c r="P104" s="57" t="s">
        <v>80</v>
      </c>
      <c r="Q104" s="57" t="s">
        <v>80</v>
      </c>
      <c r="R104" s="57" t="s">
        <v>81</v>
      </c>
      <c r="S104" s="57" t="s">
        <v>81</v>
      </c>
      <c r="T104" s="57" t="s">
        <v>80</v>
      </c>
      <c r="U104" s="57" t="s">
        <v>80</v>
      </c>
      <c r="V104" s="57" t="s">
        <v>80</v>
      </c>
      <c r="W104" s="57" t="s">
        <v>81</v>
      </c>
      <c r="X104" s="57" t="s">
        <v>81</v>
      </c>
      <c r="Y104" s="57" t="s">
        <v>80</v>
      </c>
      <c r="Z104" s="57" t="s">
        <v>80</v>
      </c>
      <c r="AA104" s="57" t="s">
        <v>80</v>
      </c>
      <c r="AB104" s="57" t="s">
        <v>81</v>
      </c>
      <c r="AC104" s="57" t="s">
        <v>81</v>
      </c>
      <c r="AD104" s="57" t="s">
        <v>80</v>
      </c>
      <c r="AE104" s="57" t="s">
        <v>80</v>
      </c>
      <c r="AF104" s="57" t="s">
        <v>80</v>
      </c>
      <c r="AG104" s="57" t="s">
        <v>81</v>
      </c>
      <c r="AH104" s="57" t="s">
        <v>81</v>
      </c>
      <c r="AI104" s="57" t="s">
        <v>80</v>
      </c>
      <c r="AJ104" s="57" t="s">
        <v>80</v>
      </c>
      <c r="AK104" s="57" t="s">
        <v>80</v>
      </c>
      <c r="AL104" s="57" t="s">
        <v>81</v>
      </c>
      <c r="AM104" s="57" t="s">
        <v>81</v>
      </c>
      <c r="AN104" s="57" t="s">
        <v>80</v>
      </c>
      <c r="AO104" s="57" t="s">
        <v>80</v>
      </c>
      <c r="AP104" s="57" t="s">
        <v>80</v>
      </c>
      <c r="AQ104" s="57" t="s">
        <v>81</v>
      </c>
      <c r="AR104" s="57" t="s">
        <v>81</v>
      </c>
      <c r="AS104" s="58" t="s">
        <v>80</v>
      </c>
    </row>
    <row r="105" spans="1:45">
      <c r="A105" s="59" t="s">
        <v>1380</v>
      </c>
      <c r="B105" s="59" t="s">
        <v>471</v>
      </c>
      <c r="C105" s="59" t="s">
        <v>472</v>
      </c>
      <c r="D105" s="59" t="s">
        <v>75</v>
      </c>
      <c r="E105" s="59" t="s">
        <v>89</v>
      </c>
      <c r="F105" s="59" t="s">
        <v>76</v>
      </c>
      <c r="G105" s="59" t="s">
        <v>88</v>
      </c>
      <c r="H105" s="59" t="s">
        <v>187</v>
      </c>
      <c r="I105" s="59" t="s">
        <v>79</v>
      </c>
      <c r="J105" s="59" t="s">
        <v>88</v>
      </c>
      <c r="K105" s="59" t="s">
        <v>187</v>
      </c>
      <c r="L105" s="59" t="s">
        <v>79</v>
      </c>
      <c r="M105" s="59" t="s">
        <v>80</v>
      </c>
      <c r="N105" s="59" t="s">
        <v>80</v>
      </c>
      <c r="O105" s="59" t="s">
        <v>80</v>
      </c>
      <c r="P105" s="59" t="s">
        <v>80</v>
      </c>
      <c r="Q105" s="59" t="s">
        <v>80</v>
      </c>
      <c r="R105" s="59" t="s">
        <v>81</v>
      </c>
      <c r="S105" s="59" t="s">
        <v>81</v>
      </c>
      <c r="T105" s="59" t="s">
        <v>80</v>
      </c>
      <c r="U105" s="59" t="s">
        <v>80</v>
      </c>
      <c r="V105" s="59" t="s">
        <v>80</v>
      </c>
      <c r="W105" s="59" t="s">
        <v>81</v>
      </c>
      <c r="X105" s="59" t="s">
        <v>81</v>
      </c>
      <c r="Y105" s="59" t="s">
        <v>80</v>
      </c>
      <c r="Z105" s="59" t="s">
        <v>80</v>
      </c>
      <c r="AA105" s="59" t="s">
        <v>80</v>
      </c>
      <c r="AB105" s="59" t="s">
        <v>81</v>
      </c>
      <c r="AC105" s="59" t="s">
        <v>81</v>
      </c>
      <c r="AD105" s="59" t="s">
        <v>80</v>
      </c>
      <c r="AE105" s="59" t="s">
        <v>80</v>
      </c>
      <c r="AF105" s="59" t="s">
        <v>80</v>
      </c>
      <c r="AG105" s="59" t="s">
        <v>81</v>
      </c>
      <c r="AH105" s="59" t="s">
        <v>81</v>
      </c>
      <c r="AI105" s="59" t="s">
        <v>80</v>
      </c>
      <c r="AJ105" s="59" t="s">
        <v>80</v>
      </c>
      <c r="AK105" s="59" t="s">
        <v>80</v>
      </c>
      <c r="AL105" s="59" t="s">
        <v>81</v>
      </c>
      <c r="AM105" s="59" t="s">
        <v>81</v>
      </c>
      <c r="AN105" s="59" t="s">
        <v>80</v>
      </c>
      <c r="AO105" s="59" t="s">
        <v>80</v>
      </c>
      <c r="AP105" s="59" t="s">
        <v>80</v>
      </c>
      <c r="AQ105" s="59" t="s">
        <v>81</v>
      </c>
      <c r="AR105" s="59" t="s">
        <v>81</v>
      </c>
      <c r="AS105" s="60" t="s">
        <v>80</v>
      </c>
    </row>
    <row r="106" spans="1:45">
      <c r="A106" s="57" t="s">
        <v>1380</v>
      </c>
      <c r="B106" s="57" t="s">
        <v>245</v>
      </c>
      <c r="C106" s="57" t="s">
        <v>246</v>
      </c>
      <c r="D106" s="57" t="s">
        <v>75</v>
      </c>
      <c r="E106" s="57" t="s">
        <v>81</v>
      </c>
      <c r="F106" s="57" t="s">
        <v>76</v>
      </c>
      <c r="G106" s="57" t="s">
        <v>90</v>
      </c>
      <c r="H106" s="57" t="s">
        <v>75</v>
      </c>
      <c r="I106" s="57" t="s">
        <v>79</v>
      </c>
      <c r="J106" s="57" t="s">
        <v>90</v>
      </c>
      <c r="K106" s="57" t="s">
        <v>75</v>
      </c>
      <c r="L106" s="57" t="s">
        <v>79</v>
      </c>
      <c r="M106" s="57" t="s">
        <v>80</v>
      </c>
      <c r="N106" s="57" t="s">
        <v>80</v>
      </c>
      <c r="O106" s="57" t="s">
        <v>80</v>
      </c>
      <c r="P106" s="57" t="s">
        <v>80</v>
      </c>
      <c r="Q106" s="57" t="s">
        <v>80</v>
      </c>
      <c r="R106" s="57" t="s">
        <v>81</v>
      </c>
      <c r="S106" s="57" t="s">
        <v>81</v>
      </c>
      <c r="T106" s="57" t="s">
        <v>80</v>
      </c>
      <c r="U106" s="57" t="s">
        <v>80</v>
      </c>
      <c r="V106" s="57" t="s">
        <v>80</v>
      </c>
      <c r="W106" s="57" t="s">
        <v>81</v>
      </c>
      <c r="X106" s="57" t="s">
        <v>81</v>
      </c>
      <c r="Y106" s="57" t="s">
        <v>80</v>
      </c>
      <c r="Z106" s="57" t="s">
        <v>80</v>
      </c>
      <c r="AA106" s="57" t="s">
        <v>80</v>
      </c>
      <c r="AB106" s="57" t="s">
        <v>81</v>
      </c>
      <c r="AC106" s="57" t="s">
        <v>81</v>
      </c>
      <c r="AD106" s="57" t="s">
        <v>80</v>
      </c>
      <c r="AE106" s="57" t="s">
        <v>80</v>
      </c>
      <c r="AF106" s="57" t="s">
        <v>80</v>
      </c>
      <c r="AG106" s="57" t="s">
        <v>81</v>
      </c>
      <c r="AH106" s="57" t="s">
        <v>81</v>
      </c>
      <c r="AI106" s="57" t="s">
        <v>80</v>
      </c>
      <c r="AJ106" s="57" t="s">
        <v>80</v>
      </c>
      <c r="AK106" s="57" t="s">
        <v>80</v>
      </c>
      <c r="AL106" s="57" t="s">
        <v>81</v>
      </c>
      <c r="AM106" s="57" t="s">
        <v>81</v>
      </c>
      <c r="AN106" s="57" t="s">
        <v>80</v>
      </c>
      <c r="AO106" s="57" t="s">
        <v>80</v>
      </c>
      <c r="AP106" s="57" t="s">
        <v>80</v>
      </c>
      <c r="AQ106" s="57" t="s">
        <v>81</v>
      </c>
      <c r="AR106" s="57" t="s">
        <v>81</v>
      </c>
      <c r="AS106" s="58" t="s">
        <v>80</v>
      </c>
    </row>
    <row r="107" spans="1:45">
      <c r="A107" s="59" t="s">
        <v>1380</v>
      </c>
      <c r="B107" s="59" t="s">
        <v>473</v>
      </c>
      <c r="C107" s="59" t="s">
        <v>474</v>
      </c>
      <c r="D107" s="59" t="s">
        <v>75</v>
      </c>
      <c r="E107" s="59" t="s">
        <v>81</v>
      </c>
      <c r="F107" s="59" t="s">
        <v>76</v>
      </c>
      <c r="G107" s="59" t="s">
        <v>82</v>
      </c>
      <c r="H107" s="59" t="s">
        <v>79</v>
      </c>
      <c r="I107" s="59" t="s">
        <v>79</v>
      </c>
      <c r="J107" s="59" t="s">
        <v>82</v>
      </c>
      <c r="K107" s="59" t="s">
        <v>79</v>
      </c>
      <c r="L107" s="59" t="s">
        <v>79</v>
      </c>
      <c r="M107" s="59" t="s">
        <v>80</v>
      </c>
      <c r="N107" s="59" t="s">
        <v>80</v>
      </c>
      <c r="O107" s="59" t="s">
        <v>80</v>
      </c>
      <c r="P107" s="59" t="s">
        <v>80</v>
      </c>
      <c r="Q107" s="59" t="s">
        <v>80</v>
      </c>
      <c r="R107" s="59" t="s">
        <v>81</v>
      </c>
      <c r="S107" s="59" t="s">
        <v>81</v>
      </c>
      <c r="T107" s="59" t="s">
        <v>80</v>
      </c>
      <c r="U107" s="59" t="s">
        <v>80</v>
      </c>
      <c r="V107" s="59" t="s">
        <v>80</v>
      </c>
      <c r="W107" s="59" t="s">
        <v>81</v>
      </c>
      <c r="X107" s="59" t="s">
        <v>81</v>
      </c>
      <c r="Y107" s="59" t="s">
        <v>80</v>
      </c>
      <c r="Z107" s="59" t="s">
        <v>80</v>
      </c>
      <c r="AA107" s="59" t="s">
        <v>80</v>
      </c>
      <c r="AB107" s="59" t="s">
        <v>81</v>
      </c>
      <c r="AC107" s="59" t="s">
        <v>81</v>
      </c>
      <c r="AD107" s="59" t="s">
        <v>80</v>
      </c>
      <c r="AE107" s="59" t="s">
        <v>80</v>
      </c>
      <c r="AF107" s="59" t="s">
        <v>80</v>
      </c>
      <c r="AG107" s="59" t="s">
        <v>81</v>
      </c>
      <c r="AH107" s="59" t="s">
        <v>81</v>
      </c>
      <c r="AI107" s="59" t="s">
        <v>80</v>
      </c>
      <c r="AJ107" s="59" t="s">
        <v>80</v>
      </c>
      <c r="AK107" s="59" t="s">
        <v>80</v>
      </c>
      <c r="AL107" s="59" t="s">
        <v>81</v>
      </c>
      <c r="AM107" s="59" t="s">
        <v>81</v>
      </c>
      <c r="AN107" s="59" t="s">
        <v>80</v>
      </c>
      <c r="AO107" s="59" t="s">
        <v>80</v>
      </c>
      <c r="AP107" s="59" t="s">
        <v>80</v>
      </c>
      <c r="AQ107" s="59" t="s">
        <v>81</v>
      </c>
      <c r="AR107" s="59" t="s">
        <v>81</v>
      </c>
      <c r="AS107" s="60" t="s">
        <v>80</v>
      </c>
    </row>
    <row r="108" spans="1:45">
      <c r="A108" s="57" t="s">
        <v>1380</v>
      </c>
      <c r="B108" s="57" t="s">
        <v>247</v>
      </c>
      <c r="C108" s="57" t="s">
        <v>248</v>
      </c>
      <c r="D108" s="57" t="s">
        <v>75</v>
      </c>
      <c r="E108" s="57" t="s">
        <v>1428</v>
      </c>
      <c r="F108" s="57" t="s">
        <v>76</v>
      </c>
      <c r="G108" s="57" t="s">
        <v>645</v>
      </c>
      <c r="H108" s="57" t="s">
        <v>1429</v>
      </c>
      <c r="I108" s="57" t="s">
        <v>77</v>
      </c>
      <c r="J108" s="57" t="s">
        <v>645</v>
      </c>
      <c r="K108" s="57" t="s">
        <v>1429</v>
      </c>
      <c r="L108" s="57" t="s">
        <v>77</v>
      </c>
      <c r="M108" s="57" t="s">
        <v>80</v>
      </c>
      <c r="N108" s="57" t="s">
        <v>80</v>
      </c>
      <c r="O108" s="57" t="s">
        <v>80</v>
      </c>
      <c r="P108" s="57" t="s">
        <v>80</v>
      </c>
      <c r="Q108" s="57" t="s">
        <v>80</v>
      </c>
      <c r="R108" s="57" t="s">
        <v>81</v>
      </c>
      <c r="S108" s="57" t="s">
        <v>81</v>
      </c>
      <c r="T108" s="57" t="s">
        <v>80</v>
      </c>
      <c r="U108" s="57" t="s">
        <v>80</v>
      </c>
      <c r="V108" s="57" t="s">
        <v>80</v>
      </c>
      <c r="W108" s="57" t="s">
        <v>81</v>
      </c>
      <c r="X108" s="57" t="s">
        <v>81</v>
      </c>
      <c r="Y108" s="57" t="s">
        <v>80</v>
      </c>
      <c r="Z108" s="57" t="s">
        <v>80</v>
      </c>
      <c r="AA108" s="57" t="s">
        <v>80</v>
      </c>
      <c r="AB108" s="57" t="s">
        <v>81</v>
      </c>
      <c r="AC108" s="57" t="s">
        <v>81</v>
      </c>
      <c r="AD108" s="57" t="s">
        <v>80</v>
      </c>
      <c r="AE108" s="57" t="s">
        <v>80</v>
      </c>
      <c r="AF108" s="57" t="s">
        <v>80</v>
      </c>
      <c r="AG108" s="57" t="s">
        <v>81</v>
      </c>
      <c r="AH108" s="57" t="s">
        <v>81</v>
      </c>
      <c r="AI108" s="57" t="s">
        <v>80</v>
      </c>
      <c r="AJ108" s="57" t="s">
        <v>80</v>
      </c>
      <c r="AK108" s="57" t="s">
        <v>80</v>
      </c>
      <c r="AL108" s="57" t="s">
        <v>81</v>
      </c>
      <c r="AM108" s="57" t="s">
        <v>81</v>
      </c>
      <c r="AN108" s="57" t="s">
        <v>80</v>
      </c>
      <c r="AO108" s="57" t="s">
        <v>80</v>
      </c>
      <c r="AP108" s="57" t="s">
        <v>80</v>
      </c>
      <c r="AQ108" s="57" t="s">
        <v>81</v>
      </c>
      <c r="AR108" s="57" t="s">
        <v>81</v>
      </c>
      <c r="AS108" s="58" t="s">
        <v>80</v>
      </c>
    </row>
    <row r="109" spans="1:45">
      <c r="A109" s="59" t="s">
        <v>1380</v>
      </c>
      <c r="B109" s="59" t="s">
        <v>249</v>
      </c>
      <c r="C109" s="59" t="s">
        <v>250</v>
      </c>
      <c r="D109" s="59" t="s">
        <v>75</v>
      </c>
      <c r="E109" s="59" t="s">
        <v>494</v>
      </c>
      <c r="F109" s="59" t="s">
        <v>76</v>
      </c>
      <c r="G109" s="59" t="s">
        <v>475</v>
      </c>
      <c r="H109" s="59" t="s">
        <v>476</v>
      </c>
      <c r="I109" s="59" t="s">
        <v>79</v>
      </c>
      <c r="J109" s="59" t="s">
        <v>475</v>
      </c>
      <c r="K109" s="59" t="s">
        <v>476</v>
      </c>
      <c r="L109" s="59" t="s">
        <v>79</v>
      </c>
      <c r="M109" s="59" t="s">
        <v>80</v>
      </c>
      <c r="N109" s="59" t="s">
        <v>80</v>
      </c>
      <c r="O109" s="59" t="s">
        <v>80</v>
      </c>
      <c r="P109" s="59" t="s">
        <v>80</v>
      </c>
      <c r="Q109" s="59" t="s">
        <v>80</v>
      </c>
      <c r="R109" s="59" t="s">
        <v>81</v>
      </c>
      <c r="S109" s="59" t="s">
        <v>81</v>
      </c>
      <c r="T109" s="59" t="s">
        <v>80</v>
      </c>
      <c r="U109" s="59" t="s">
        <v>80</v>
      </c>
      <c r="V109" s="59" t="s">
        <v>80</v>
      </c>
      <c r="W109" s="59" t="s">
        <v>81</v>
      </c>
      <c r="X109" s="59" t="s">
        <v>81</v>
      </c>
      <c r="Y109" s="59" t="s">
        <v>80</v>
      </c>
      <c r="Z109" s="59" t="s">
        <v>80</v>
      </c>
      <c r="AA109" s="59" t="s">
        <v>80</v>
      </c>
      <c r="AB109" s="59" t="s">
        <v>81</v>
      </c>
      <c r="AC109" s="59" t="s">
        <v>81</v>
      </c>
      <c r="AD109" s="59" t="s">
        <v>80</v>
      </c>
      <c r="AE109" s="59" t="s">
        <v>80</v>
      </c>
      <c r="AF109" s="59" t="s">
        <v>80</v>
      </c>
      <c r="AG109" s="59" t="s">
        <v>81</v>
      </c>
      <c r="AH109" s="59" t="s">
        <v>81</v>
      </c>
      <c r="AI109" s="59" t="s">
        <v>80</v>
      </c>
      <c r="AJ109" s="59" t="s">
        <v>80</v>
      </c>
      <c r="AK109" s="59" t="s">
        <v>80</v>
      </c>
      <c r="AL109" s="59" t="s">
        <v>81</v>
      </c>
      <c r="AM109" s="59" t="s">
        <v>81</v>
      </c>
      <c r="AN109" s="59" t="s">
        <v>80</v>
      </c>
      <c r="AO109" s="59" t="s">
        <v>80</v>
      </c>
      <c r="AP109" s="59" t="s">
        <v>80</v>
      </c>
      <c r="AQ109" s="59" t="s">
        <v>81</v>
      </c>
      <c r="AR109" s="59" t="s">
        <v>81</v>
      </c>
      <c r="AS109" s="60" t="s">
        <v>80</v>
      </c>
    </row>
    <row r="110" spans="1:45">
      <c r="A110" s="57" t="s">
        <v>1380</v>
      </c>
      <c r="B110" s="57" t="s">
        <v>252</v>
      </c>
      <c r="C110" s="57" t="s">
        <v>253</v>
      </c>
      <c r="D110" s="57" t="s">
        <v>75</v>
      </c>
      <c r="E110" s="57" t="s">
        <v>1430</v>
      </c>
      <c r="F110" s="57" t="s">
        <v>76</v>
      </c>
      <c r="G110" s="57" t="s">
        <v>82</v>
      </c>
      <c r="H110" s="57" t="s">
        <v>75</v>
      </c>
      <c r="I110" s="57" t="s">
        <v>75</v>
      </c>
      <c r="J110" s="57" t="s">
        <v>82</v>
      </c>
      <c r="K110" s="57" t="s">
        <v>75</v>
      </c>
      <c r="L110" s="57" t="s">
        <v>75</v>
      </c>
      <c r="M110" s="57" t="s">
        <v>80</v>
      </c>
      <c r="N110" s="57" t="s">
        <v>80</v>
      </c>
      <c r="O110" s="57" t="s">
        <v>80</v>
      </c>
      <c r="P110" s="57" t="s">
        <v>80</v>
      </c>
      <c r="Q110" s="57" t="s">
        <v>80</v>
      </c>
      <c r="R110" s="57" t="s">
        <v>81</v>
      </c>
      <c r="S110" s="57" t="s">
        <v>81</v>
      </c>
      <c r="T110" s="57" t="s">
        <v>80</v>
      </c>
      <c r="U110" s="57" t="s">
        <v>80</v>
      </c>
      <c r="V110" s="57" t="s">
        <v>80</v>
      </c>
      <c r="W110" s="57" t="s">
        <v>81</v>
      </c>
      <c r="X110" s="57" t="s">
        <v>81</v>
      </c>
      <c r="Y110" s="57" t="s">
        <v>80</v>
      </c>
      <c r="Z110" s="57" t="s">
        <v>80</v>
      </c>
      <c r="AA110" s="57" t="s">
        <v>80</v>
      </c>
      <c r="AB110" s="57" t="s">
        <v>81</v>
      </c>
      <c r="AC110" s="57" t="s">
        <v>81</v>
      </c>
      <c r="AD110" s="57" t="s">
        <v>80</v>
      </c>
      <c r="AE110" s="57" t="s">
        <v>80</v>
      </c>
      <c r="AF110" s="57" t="s">
        <v>80</v>
      </c>
      <c r="AG110" s="57" t="s">
        <v>81</v>
      </c>
      <c r="AH110" s="57" t="s">
        <v>81</v>
      </c>
      <c r="AI110" s="57" t="s">
        <v>80</v>
      </c>
      <c r="AJ110" s="57" t="s">
        <v>80</v>
      </c>
      <c r="AK110" s="57" t="s">
        <v>80</v>
      </c>
      <c r="AL110" s="57" t="s">
        <v>81</v>
      </c>
      <c r="AM110" s="57" t="s">
        <v>81</v>
      </c>
      <c r="AN110" s="57" t="s">
        <v>80</v>
      </c>
      <c r="AO110" s="57" t="s">
        <v>80</v>
      </c>
      <c r="AP110" s="57" t="s">
        <v>80</v>
      </c>
      <c r="AQ110" s="57" t="s">
        <v>81</v>
      </c>
      <c r="AR110" s="57" t="s">
        <v>81</v>
      </c>
      <c r="AS110" s="58" t="s">
        <v>80</v>
      </c>
    </row>
    <row r="111" spans="1:45">
      <c r="A111" s="59" t="s">
        <v>1380</v>
      </c>
      <c r="B111" s="59" t="s">
        <v>254</v>
      </c>
      <c r="C111" s="59" t="s">
        <v>255</v>
      </c>
      <c r="D111" s="59" t="s">
        <v>75</v>
      </c>
      <c r="E111" s="59" t="s">
        <v>1431</v>
      </c>
      <c r="F111" s="59" t="s">
        <v>76</v>
      </c>
      <c r="G111" s="59" t="s">
        <v>1432</v>
      </c>
      <c r="H111" s="59" t="s">
        <v>1433</v>
      </c>
      <c r="I111" s="59" t="s">
        <v>77</v>
      </c>
      <c r="J111" s="59" t="s">
        <v>1432</v>
      </c>
      <c r="K111" s="59" t="s">
        <v>1433</v>
      </c>
      <c r="L111" s="59" t="s">
        <v>77</v>
      </c>
      <c r="M111" s="59" t="s">
        <v>80</v>
      </c>
      <c r="N111" s="59" t="s">
        <v>80</v>
      </c>
      <c r="O111" s="59" t="s">
        <v>80</v>
      </c>
      <c r="P111" s="59" t="s">
        <v>80</v>
      </c>
      <c r="Q111" s="59" t="s">
        <v>80</v>
      </c>
      <c r="R111" s="59" t="s">
        <v>81</v>
      </c>
      <c r="S111" s="59" t="s">
        <v>81</v>
      </c>
      <c r="T111" s="59" t="s">
        <v>80</v>
      </c>
      <c r="U111" s="59" t="s">
        <v>80</v>
      </c>
      <c r="V111" s="59" t="s">
        <v>80</v>
      </c>
      <c r="W111" s="59" t="s">
        <v>81</v>
      </c>
      <c r="X111" s="59" t="s">
        <v>81</v>
      </c>
      <c r="Y111" s="59" t="s">
        <v>80</v>
      </c>
      <c r="Z111" s="59" t="s">
        <v>80</v>
      </c>
      <c r="AA111" s="59" t="s">
        <v>80</v>
      </c>
      <c r="AB111" s="59" t="s">
        <v>81</v>
      </c>
      <c r="AC111" s="59" t="s">
        <v>81</v>
      </c>
      <c r="AD111" s="59" t="s">
        <v>80</v>
      </c>
      <c r="AE111" s="59" t="s">
        <v>80</v>
      </c>
      <c r="AF111" s="59" t="s">
        <v>80</v>
      </c>
      <c r="AG111" s="59" t="s">
        <v>81</v>
      </c>
      <c r="AH111" s="59" t="s">
        <v>81</v>
      </c>
      <c r="AI111" s="59" t="s">
        <v>80</v>
      </c>
      <c r="AJ111" s="59" t="s">
        <v>80</v>
      </c>
      <c r="AK111" s="59" t="s">
        <v>80</v>
      </c>
      <c r="AL111" s="59" t="s">
        <v>81</v>
      </c>
      <c r="AM111" s="59" t="s">
        <v>81</v>
      </c>
      <c r="AN111" s="59" t="s">
        <v>80</v>
      </c>
      <c r="AO111" s="59" t="s">
        <v>80</v>
      </c>
      <c r="AP111" s="59" t="s">
        <v>80</v>
      </c>
      <c r="AQ111" s="59" t="s">
        <v>81</v>
      </c>
      <c r="AR111" s="59" t="s">
        <v>81</v>
      </c>
      <c r="AS111" s="60" t="s">
        <v>80</v>
      </c>
    </row>
    <row r="112" spans="1:45">
      <c r="A112" s="57" t="s">
        <v>1380</v>
      </c>
      <c r="B112" s="57" t="s">
        <v>257</v>
      </c>
      <c r="C112" s="57" t="s">
        <v>258</v>
      </c>
      <c r="D112" s="57" t="s">
        <v>75</v>
      </c>
      <c r="E112" s="57" t="s">
        <v>290</v>
      </c>
      <c r="F112" s="57" t="s">
        <v>76</v>
      </c>
      <c r="G112" s="57" t="s">
        <v>82</v>
      </c>
      <c r="H112" s="57" t="s">
        <v>75</v>
      </c>
      <c r="I112" s="57" t="s">
        <v>75</v>
      </c>
      <c r="J112" s="57" t="s">
        <v>82</v>
      </c>
      <c r="K112" s="57" t="s">
        <v>75</v>
      </c>
      <c r="L112" s="57" t="s">
        <v>75</v>
      </c>
      <c r="M112" s="57" t="s">
        <v>80</v>
      </c>
      <c r="N112" s="57" t="s">
        <v>80</v>
      </c>
      <c r="O112" s="57" t="s">
        <v>80</v>
      </c>
      <c r="P112" s="57" t="s">
        <v>80</v>
      </c>
      <c r="Q112" s="57" t="s">
        <v>80</v>
      </c>
      <c r="R112" s="57" t="s">
        <v>81</v>
      </c>
      <c r="S112" s="57" t="s">
        <v>81</v>
      </c>
      <c r="T112" s="57" t="s">
        <v>80</v>
      </c>
      <c r="U112" s="57" t="s">
        <v>80</v>
      </c>
      <c r="V112" s="57" t="s">
        <v>80</v>
      </c>
      <c r="W112" s="57" t="s">
        <v>81</v>
      </c>
      <c r="X112" s="57" t="s">
        <v>81</v>
      </c>
      <c r="Y112" s="57" t="s">
        <v>80</v>
      </c>
      <c r="Z112" s="57" t="s">
        <v>80</v>
      </c>
      <c r="AA112" s="57" t="s">
        <v>80</v>
      </c>
      <c r="AB112" s="57" t="s">
        <v>81</v>
      </c>
      <c r="AC112" s="57" t="s">
        <v>81</v>
      </c>
      <c r="AD112" s="57" t="s">
        <v>80</v>
      </c>
      <c r="AE112" s="57" t="s">
        <v>80</v>
      </c>
      <c r="AF112" s="57" t="s">
        <v>80</v>
      </c>
      <c r="AG112" s="57" t="s">
        <v>81</v>
      </c>
      <c r="AH112" s="57" t="s">
        <v>81</v>
      </c>
      <c r="AI112" s="57" t="s">
        <v>80</v>
      </c>
      <c r="AJ112" s="57" t="s">
        <v>80</v>
      </c>
      <c r="AK112" s="57" t="s">
        <v>80</v>
      </c>
      <c r="AL112" s="57" t="s">
        <v>81</v>
      </c>
      <c r="AM112" s="57" t="s">
        <v>81</v>
      </c>
      <c r="AN112" s="57" t="s">
        <v>80</v>
      </c>
      <c r="AO112" s="57" t="s">
        <v>80</v>
      </c>
      <c r="AP112" s="57" t="s">
        <v>80</v>
      </c>
      <c r="AQ112" s="57" t="s">
        <v>81</v>
      </c>
      <c r="AR112" s="57" t="s">
        <v>81</v>
      </c>
      <c r="AS112" s="58" t="s">
        <v>80</v>
      </c>
    </row>
    <row r="113" spans="1:45">
      <c r="A113" s="59" t="s">
        <v>1380</v>
      </c>
      <c r="B113" s="59" t="s">
        <v>259</v>
      </c>
      <c r="C113" s="59" t="s">
        <v>260</v>
      </c>
      <c r="D113" s="59" t="s">
        <v>75</v>
      </c>
      <c r="E113" s="59" t="s">
        <v>429</v>
      </c>
      <c r="F113" s="59" t="s">
        <v>76</v>
      </c>
      <c r="G113" s="59" t="s">
        <v>431</v>
      </c>
      <c r="H113" s="59" t="s">
        <v>432</v>
      </c>
      <c r="I113" s="59" t="s">
        <v>77</v>
      </c>
      <c r="J113" s="59" t="s">
        <v>431</v>
      </c>
      <c r="K113" s="59" t="s">
        <v>432</v>
      </c>
      <c r="L113" s="59" t="s">
        <v>77</v>
      </c>
      <c r="M113" s="59" t="s">
        <v>80</v>
      </c>
      <c r="N113" s="59" t="s">
        <v>80</v>
      </c>
      <c r="O113" s="59" t="s">
        <v>80</v>
      </c>
      <c r="P113" s="59" t="s">
        <v>80</v>
      </c>
      <c r="Q113" s="59" t="s">
        <v>80</v>
      </c>
      <c r="R113" s="59" t="s">
        <v>81</v>
      </c>
      <c r="S113" s="59" t="s">
        <v>81</v>
      </c>
      <c r="T113" s="59" t="s">
        <v>80</v>
      </c>
      <c r="U113" s="59" t="s">
        <v>80</v>
      </c>
      <c r="V113" s="59" t="s">
        <v>80</v>
      </c>
      <c r="W113" s="59" t="s">
        <v>81</v>
      </c>
      <c r="X113" s="59" t="s">
        <v>81</v>
      </c>
      <c r="Y113" s="59" t="s">
        <v>80</v>
      </c>
      <c r="Z113" s="59" t="s">
        <v>80</v>
      </c>
      <c r="AA113" s="59" t="s">
        <v>80</v>
      </c>
      <c r="AB113" s="59" t="s">
        <v>81</v>
      </c>
      <c r="AC113" s="59" t="s">
        <v>81</v>
      </c>
      <c r="AD113" s="59" t="s">
        <v>80</v>
      </c>
      <c r="AE113" s="59" t="s">
        <v>80</v>
      </c>
      <c r="AF113" s="59" t="s">
        <v>80</v>
      </c>
      <c r="AG113" s="59" t="s">
        <v>81</v>
      </c>
      <c r="AH113" s="59" t="s">
        <v>81</v>
      </c>
      <c r="AI113" s="59" t="s">
        <v>80</v>
      </c>
      <c r="AJ113" s="59" t="s">
        <v>80</v>
      </c>
      <c r="AK113" s="59" t="s">
        <v>80</v>
      </c>
      <c r="AL113" s="59" t="s">
        <v>81</v>
      </c>
      <c r="AM113" s="59" t="s">
        <v>81</v>
      </c>
      <c r="AN113" s="59" t="s">
        <v>80</v>
      </c>
      <c r="AO113" s="59" t="s">
        <v>80</v>
      </c>
      <c r="AP113" s="59" t="s">
        <v>80</v>
      </c>
      <c r="AQ113" s="59" t="s">
        <v>81</v>
      </c>
      <c r="AR113" s="59" t="s">
        <v>81</v>
      </c>
      <c r="AS113" s="60" t="s">
        <v>80</v>
      </c>
    </row>
    <row r="114" spans="1:45">
      <c r="A114" s="57" t="s">
        <v>1380</v>
      </c>
      <c r="B114" s="57" t="s">
        <v>262</v>
      </c>
      <c r="C114" s="57" t="s">
        <v>263</v>
      </c>
      <c r="D114" s="57" t="s">
        <v>75</v>
      </c>
      <c r="E114" s="57" t="s">
        <v>340</v>
      </c>
      <c r="F114" s="57" t="s">
        <v>76</v>
      </c>
      <c r="G114" s="57" t="s">
        <v>485</v>
      </c>
      <c r="H114" s="57" t="s">
        <v>1434</v>
      </c>
      <c r="I114" s="57" t="s">
        <v>77</v>
      </c>
      <c r="J114" s="57" t="s">
        <v>485</v>
      </c>
      <c r="K114" s="57" t="s">
        <v>1434</v>
      </c>
      <c r="L114" s="57" t="s">
        <v>77</v>
      </c>
      <c r="M114" s="57" t="s">
        <v>80</v>
      </c>
      <c r="N114" s="57" t="s">
        <v>80</v>
      </c>
      <c r="O114" s="57" t="s">
        <v>80</v>
      </c>
      <c r="P114" s="57" t="s">
        <v>80</v>
      </c>
      <c r="Q114" s="57" t="s">
        <v>80</v>
      </c>
      <c r="R114" s="57" t="s">
        <v>81</v>
      </c>
      <c r="S114" s="57" t="s">
        <v>81</v>
      </c>
      <c r="T114" s="57" t="s">
        <v>80</v>
      </c>
      <c r="U114" s="57" t="s">
        <v>80</v>
      </c>
      <c r="V114" s="57" t="s">
        <v>80</v>
      </c>
      <c r="W114" s="57" t="s">
        <v>81</v>
      </c>
      <c r="X114" s="57" t="s">
        <v>81</v>
      </c>
      <c r="Y114" s="57" t="s">
        <v>80</v>
      </c>
      <c r="Z114" s="57" t="s">
        <v>80</v>
      </c>
      <c r="AA114" s="57" t="s">
        <v>80</v>
      </c>
      <c r="AB114" s="57" t="s">
        <v>81</v>
      </c>
      <c r="AC114" s="57" t="s">
        <v>81</v>
      </c>
      <c r="AD114" s="57" t="s">
        <v>80</v>
      </c>
      <c r="AE114" s="57" t="s">
        <v>80</v>
      </c>
      <c r="AF114" s="57" t="s">
        <v>80</v>
      </c>
      <c r="AG114" s="57" t="s">
        <v>81</v>
      </c>
      <c r="AH114" s="57" t="s">
        <v>81</v>
      </c>
      <c r="AI114" s="57" t="s">
        <v>80</v>
      </c>
      <c r="AJ114" s="57" t="s">
        <v>80</v>
      </c>
      <c r="AK114" s="57" t="s">
        <v>80</v>
      </c>
      <c r="AL114" s="57" t="s">
        <v>81</v>
      </c>
      <c r="AM114" s="57" t="s">
        <v>81</v>
      </c>
      <c r="AN114" s="57" t="s">
        <v>80</v>
      </c>
      <c r="AO114" s="57" t="s">
        <v>80</v>
      </c>
      <c r="AP114" s="57" t="s">
        <v>80</v>
      </c>
      <c r="AQ114" s="57" t="s">
        <v>81</v>
      </c>
      <c r="AR114" s="57" t="s">
        <v>81</v>
      </c>
      <c r="AS114" s="58" t="s">
        <v>80</v>
      </c>
    </row>
    <row r="115" spans="1:45">
      <c r="A115" s="59" t="s">
        <v>1380</v>
      </c>
      <c r="B115" s="59" t="s">
        <v>264</v>
      </c>
      <c r="C115" s="59" t="s">
        <v>265</v>
      </c>
      <c r="D115" s="59" t="s">
        <v>75</v>
      </c>
      <c r="E115" s="59" t="s">
        <v>81</v>
      </c>
      <c r="F115" s="59" t="s">
        <v>76</v>
      </c>
      <c r="G115" s="59" t="s">
        <v>98</v>
      </c>
      <c r="H115" s="59" t="s">
        <v>99</v>
      </c>
      <c r="I115" s="59" t="s">
        <v>79</v>
      </c>
      <c r="J115" s="59" t="s">
        <v>98</v>
      </c>
      <c r="K115" s="59" t="s">
        <v>99</v>
      </c>
      <c r="L115" s="59" t="s">
        <v>79</v>
      </c>
      <c r="M115" s="59" t="s">
        <v>80</v>
      </c>
      <c r="N115" s="59" t="s">
        <v>80</v>
      </c>
      <c r="O115" s="59" t="s">
        <v>80</v>
      </c>
      <c r="P115" s="59" t="s">
        <v>80</v>
      </c>
      <c r="Q115" s="59" t="s">
        <v>80</v>
      </c>
      <c r="R115" s="59" t="s">
        <v>81</v>
      </c>
      <c r="S115" s="59" t="s">
        <v>81</v>
      </c>
      <c r="T115" s="59" t="s">
        <v>80</v>
      </c>
      <c r="U115" s="59" t="s">
        <v>80</v>
      </c>
      <c r="V115" s="59" t="s">
        <v>80</v>
      </c>
      <c r="W115" s="59" t="s">
        <v>81</v>
      </c>
      <c r="X115" s="59" t="s">
        <v>81</v>
      </c>
      <c r="Y115" s="59" t="s">
        <v>80</v>
      </c>
      <c r="Z115" s="59" t="s">
        <v>80</v>
      </c>
      <c r="AA115" s="59" t="s">
        <v>80</v>
      </c>
      <c r="AB115" s="59" t="s">
        <v>81</v>
      </c>
      <c r="AC115" s="59" t="s">
        <v>81</v>
      </c>
      <c r="AD115" s="59" t="s">
        <v>80</v>
      </c>
      <c r="AE115" s="59" t="s">
        <v>80</v>
      </c>
      <c r="AF115" s="59" t="s">
        <v>80</v>
      </c>
      <c r="AG115" s="59" t="s">
        <v>81</v>
      </c>
      <c r="AH115" s="59" t="s">
        <v>81</v>
      </c>
      <c r="AI115" s="59" t="s">
        <v>80</v>
      </c>
      <c r="AJ115" s="59" t="s">
        <v>80</v>
      </c>
      <c r="AK115" s="59" t="s">
        <v>80</v>
      </c>
      <c r="AL115" s="59" t="s">
        <v>81</v>
      </c>
      <c r="AM115" s="59" t="s">
        <v>81</v>
      </c>
      <c r="AN115" s="59" t="s">
        <v>80</v>
      </c>
      <c r="AO115" s="59" t="s">
        <v>80</v>
      </c>
      <c r="AP115" s="59" t="s">
        <v>80</v>
      </c>
      <c r="AQ115" s="59" t="s">
        <v>81</v>
      </c>
      <c r="AR115" s="59" t="s">
        <v>81</v>
      </c>
      <c r="AS115" s="60" t="s">
        <v>80</v>
      </c>
    </row>
    <row r="116" spans="1:45">
      <c r="A116" s="57" t="s">
        <v>1380</v>
      </c>
      <c r="B116" s="57" t="s">
        <v>266</v>
      </c>
      <c r="C116" s="57" t="s">
        <v>267</v>
      </c>
      <c r="D116" s="57" t="s">
        <v>75</v>
      </c>
      <c r="E116" s="57" t="s">
        <v>137</v>
      </c>
      <c r="F116" s="57" t="s">
        <v>76</v>
      </c>
      <c r="G116" s="57" t="s">
        <v>98</v>
      </c>
      <c r="H116" s="57" t="s">
        <v>78</v>
      </c>
      <c r="I116" s="57" t="s">
        <v>128</v>
      </c>
      <c r="J116" s="57" t="s">
        <v>98</v>
      </c>
      <c r="K116" s="57" t="s">
        <v>78</v>
      </c>
      <c r="L116" s="57" t="s">
        <v>128</v>
      </c>
      <c r="M116" s="57" t="s">
        <v>80</v>
      </c>
      <c r="N116" s="57" t="s">
        <v>80</v>
      </c>
      <c r="O116" s="57" t="s">
        <v>80</v>
      </c>
      <c r="P116" s="57" t="s">
        <v>80</v>
      </c>
      <c r="Q116" s="57" t="s">
        <v>80</v>
      </c>
      <c r="R116" s="57" t="s">
        <v>81</v>
      </c>
      <c r="S116" s="57" t="s">
        <v>81</v>
      </c>
      <c r="T116" s="57" t="s">
        <v>80</v>
      </c>
      <c r="U116" s="57" t="s">
        <v>80</v>
      </c>
      <c r="V116" s="57" t="s">
        <v>80</v>
      </c>
      <c r="W116" s="57" t="s">
        <v>81</v>
      </c>
      <c r="X116" s="57" t="s">
        <v>81</v>
      </c>
      <c r="Y116" s="57" t="s">
        <v>80</v>
      </c>
      <c r="Z116" s="57" t="s">
        <v>80</v>
      </c>
      <c r="AA116" s="57" t="s">
        <v>80</v>
      </c>
      <c r="AB116" s="57" t="s">
        <v>81</v>
      </c>
      <c r="AC116" s="57" t="s">
        <v>81</v>
      </c>
      <c r="AD116" s="57" t="s">
        <v>80</v>
      </c>
      <c r="AE116" s="57" t="s">
        <v>80</v>
      </c>
      <c r="AF116" s="57" t="s">
        <v>80</v>
      </c>
      <c r="AG116" s="57" t="s">
        <v>81</v>
      </c>
      <c r="AH116" s="57" t="s">
        <v>81</v>
      </c>
      <c r="AI116" s="57" t="s">
        <v>80</v>
      </c>
      <c r="AJ116" s="57" t="s">
        <v>80</v>
      </c>
      <c r="AK116" s="57" t="s">
        <v>80</v>
      </c>
      <c r="AL116" s="57" t="s">
        <v>81</v>
      </c>
      <c r="AM116" s="57" t="s">
        <v>81</v>
      </c>
      <c r="AN116" s="57" t="s">
        <v>80</v>
      </c>
      <c r="AO116" s="57" t="s">
        <v>80</v>
      </c>
      <c r="AP116" s="57" t="s">
        <v>80</v>
      </c>
      <c r="AQ116" s="57" t="s">
        <v>81</v>
      </c>
      <c r="AR116" s="57" t="s">
        <v>81</v>
      </c>
      <c r="AS116" s="58" t="s">
        <v>80</v>
      </c>
    </row>
    <row r="117" spans="1:45">
      <c r="A117" s="59" t="s">
        <v>1380</v>
      </c>
      <c r="B117" s="59" t="s">
        <v>268</v>
      </c>
      <c r="C117" s="59" t="s">
        <v>269</v>
      </c>
      <c r="D117" s="59" t="s">
        <v>75</v>
      </c>
      <c r="E117" s="59" t="s">
        <v>81</v>
      </c>
      <c r="F117" s="59" t="s">
        <v>76</v>
      </c>
      <c r="G117" s="59" t="s">
        <v>82</v>
      </c>
      <c r="H117" s="59" t="s">
        <v>79</v>
      </c>
      <c r="I117" s="59" t="s">
        <v>79</v>
      </c>
      <c r="J117" s="59" t="s">
        <v>82</v>
      </c>
      <c r="K117" s="59" t="s">
        <v>79</v>
      </c>
      <c r="L117" s="59" t="s">
        <v>79</v>
      </c>
      <c r="M117" s="59" t="s">
        <v>80</v>
      </c>
      <c r="N117" s="59" t="s">
        <v>80</v>
      </c>
      <c r="O117" s="59" t="s">
        <v>80</v>
      </c>
      <c r="P117" s="59" t="s">
        <v>80</v>
      </c>
      <c r="Q117" s="59" t="s">
        <v>80</v>
      </c>
      <c r="R117" s="59" t="s">
        <v>81</v>
      </c>
      <c r="S117" s="59" t="s">
        <v>81</v>
      </c>
      <c r="T117" s="59" t="s">
        <v>80</v>
      </c>
      <c r="U117" s="59" t="s">
        <v>80</v>
      </c>
      <c r="V117" s="59" t="s">
        <v>80</v>
      </c>
      <c r="W117" s="59" t="s">
        <v>81</v>
      </c>
      <c r="X117" s="59" t="s">
        <v>81</v>
      </c>
      <c r="Y117" s="59" t="s">
        <v>80</v>
      </c>
      <c r="Z117" s="59" t="s">
        <v>80</v>
      </c>
      <c r="AA117" s="59" t="s">
        <v>80</v>
      </c>
      <c r="AB117" s="59" t="s">
        <v>81</v>
      </c>
      <c r="AC117" s="59" t="s">
        <v>81</v>
      </c>
      <c r="AD117" s="59" t="s">
        <v>80</v>
      </c>
      <c r="AE117" s="59" t="s">
        <v>80</v>
      </c>
      <c r="AF117" s="59" t="s">
        <v>80</v>
      </c>
      <c r="AG117" s="59" t="s">
        <v>81</v>
      </c>
      <c r="AH117" s="59" t="s">
        <v>81</v>
      </c>
      <c r="AI117" s="59" t="s">
        <v>80</v>
      </c>
      <c r="AJ117" s="59" t="s">
        <v>80</v>
      </c>
      <c r="AK117" s="59" t="s">
        <v>80</v>
      </c>
      <c r="AL117" s="59" t="s">
        <v>81</v>
      </c>
      <c r="AM117" s="59" t="s">
        <v>81</v>
      </c>
      <c r="AN117" s="59" t="s">
        <v>80</v>
      </c>
      <c r="AO117" s="59" t="s">
        <v>80</v>
      </c>
      <c r="AP117" s="59" t="s">
        <v>80</v>
      </c>
      <c r="AQ117" s="59" t="s">
        <v>81</v>
      </c>
      <c r="AR117" s="59" t="s">
        <v>81</v>
      </c>
      <c r="AS117" s="60" t="s">
        <v>80</v>
      </c>
    </row>
    <row r="118" spans="1:45">
      <c r="A118" s="57" t="s">
        <v>1380</v>
      </c>
      <c r="B118" s="57" t="s">
        <v>270</v>
      </c>
      <c r="C118" s="57" t="s">
        <v>271</v>
      </c>
      <c r="D118" s="57" t="s">
        <v>75</v>
      </c>
      <c r="E118" s="57" t="s">
        <v>232</v>
      </c>
      <c r="F118" s="57" t="s">
        <v>76</v>
      </c>
      <c r="G118" s="57" t="s">
        <v>182</v>
      </c>
      <c r="H118" s="57" t="s">
        <v>99</v>
      </c>
      <c r="I118" s="57" t="s">
        <v>88</v>
      </c>
      <c r="J118" s="57" t="s">
        <v>182</v>
      </c>
      <c r="K118" s="57" t="s">
        <v>99</v>
      </c>
      <c r="L118" s="57" t="s">
        <v>88</v>
      </c>
      <c r="M118" s="57" t="s">
        <v>80</v>
      </c>
      <c r="N118" s="57" t="s">
        <v>80</v>
      </c>
      <c r="O118" s="57" t="s">
        <v>80</v>
      </c>
      <c r="P118" s="57" t="s">
        <v>80</v>
      </c>
      <c r="Q118" s="57" t="s">
        <v>80</v>
      </c>
      <c r="R118" s="57" t="s">
        <v>81</v>
      </c>
      <c r="S118" s="57" t="s">
        <v>81</v>
      </c>
      <c r="T118" s="57" t="s">
        <v>80</v>
      </c>
      <c r="U118" s="57" t="s">
        <v>80</v>
      </c>
      <c r="V118" s="57" t="s">
        <v>80</v>
      </c>
      <c r="W118" s="57" t="s">
        <v>81</v>
      </c>
      <c r="X118" s="57" t="s">
        <v>81</v>
      </c>
      <c r="Y118" s="57" t="s">
        <v>80</v>
      </c>
      <c r="Z118" s="57" t="s">
        <v>80</v>
      </c>
      <c r="AA118" s="57" t="s">
        <v>80</v>
      </c>
      <c r="AB118" s="57" t="s">
        <v>81</v>
      </c>
      <c r="AC118" s="57" t="s">
        <v>81</v>
      </c>
      <c r="AD118" s="57" t="s">
        <v>80</v>
      </c>
      <c r="AE118" s="57" t="s">
        <v>80</v>
      </c>
      <c r="AF118" s="57" t="s">
        <v>80</v>
      </c>
      <c r="AG118" s="57" t="s">
        <v>81</v>
      </c>
      <c r="AH118" s="57" t="s">
        <v>81</v>
      </c>
      <c r="AI118" s="57" t="s">
        <v>80</v>
      </c>
      <c r="AJ118" s="57" t="s">
        <v>80</v>
      </c>
      <c r="AK118" s="57" t="s">
        <v>80</v>
      </c>
      <c r="AL118" s="57" t="s">
        <v>81</v>
      </c>
      <c r="AM118" s="57" t="s">
        <v>81</v>
      </c>
      <c r="AN118" s="57" t="s">
        <v>80</v>
      </c>
      <c r="AO118" s="57" t="s">
        <v>80</v>
      </c>
      <c r="AP118" s="57" t="s">
        <v>80</v>
      </c>
      <c r="AQ118" s="57" t="s">
        <v>81</v>
      </c>
      <c r="AR118" s="57" t="s">
        <v>81</v>
      </c>
      <c r="AS118" s="58" t="s">
        <v>80</v>
      </c>
    </row>
    <row r="119" spans="1:45">
      <c r="A119" s="59" t="s">
        <v>1380</v>
      </c>
      <c r="B119" s="59" t="s">
        <v>272</v>
      </c>
      <c r="C119" s="59" t="s">
        <v>273</v>
      </c>
      <c r="D119" s="59" t="s">
        <v>75</v>
      </c>
      <c r="E119" s="59" t="s">
        <v>1435</v>
      </c>
      <c r="F119" s="59" t="s">
        <v>76</v>
      </c>
      <c r="G119" s="59" t="s">
        <v>309</v>
      </c>
      <c r="H119" s="59" t="s">
        <v>156</v>
      </c>
      <c r="I119" s="59" t="s">
        <v>77</v>
      </c>
      <c r="J119" s="59" t="s">
        <v>309</v>
      </c>
      <c r="K119" s="59" t="s">
        <v>156</v>
      </c>
      <c r="L119" s="59" t="s">
        <v>77</v>
      </c>
      <c r="M119" s="59" t="s">
        <v>80</v>
      </c>
      <c r="N119" s="59" t="s">
        <v>80</v>
      </c>
      <c r="O119" s="59" t="s">
        <v>80</v>
      </c>
      <c r="P119" s="59" t="s">
        <v>80</v>
      </c>
      <c r="Q119" s="59" t="s">
        <v>80</v>
      </c>
      <c r="R119" s="59" t="s">
        <v>81</v>
      </c>
      <c r="S119" s="59" t="s">
        <v>81</v>
      </c>
      <c r="T119" s="59" t="s">
        <v>80</v>
      </c>
      <c r="U119" s="59" t="s">
        <v>80</v>
      </c>
      <c r="V119" s="59" t="s">
        <v>80</v>
      </c>
      <c r="W119" s="59" t="s">
        <v>81</v>
      </c>
      <c r="X119" s="59" t="s">
        <v>81</v>
      </c>
      <c r="Y119" s="59" t="s">
        <v>80</v>
      </c>
      <c r="Z119" s="59" t="s">
        <v>80</v>
      </c>
      <c r="AA119" s="59" t="s">
        <v>80</v>
      </c>
      <c r="AB119" s="59" t="s">
        <v>81</v>
      </c>
      <c r="AC119" s="59" t="s">
        <v>81</v>
      </c>
      <c r="AD119" s="59" t="s">
        <v>80</v>
      </c>
      <c r="AE119" s="59" t="s">
        <v>80</v>
      </c>
      <c r="AF119" s="59" t="s">
        <v>80</v>
      </c>
      <c r="AG119" s="59" t="s">
        <v>81</v>
      </c>
      <c r="AH119" s="59" t="s">
        <v>81</v>
      </c>
      <c r="AI119" s="59" t="s">
        <v>80</v>
      </c>
      <c r="AJ119" s="59" t="s">
        <v>80</v>
      </c>
      <c r="AK119" s="59" t="s">
        <v>80</v>
      </c>
      <c r="AL119" s="59" t="s">
        <v>81</v>
      </c>
      <c r="AM119" s="59" t="s">
        <v>81</v>
      </c>
      <c r="AN119" s="59" t="s">
        <v>80</v>
      </c>
      <c r="AO119" s="59" t="s">
        <v>80</v>
      </c>
      <c r="AP119" s="59" t="s">
        <v>80</v>
      </c>
      <c r="AQ119" s="59" t="s">
        <v>81</v>
      </c>
      <c r="AR119" s="59" t="s">
        <v>81</v>
      </c>
      <c r="AS119" s="60" t="s">
        <v>80</v>
      </c>
    </row>
    <row r="120" spans="1:45">
      <c r="A120" s="57" t="s">
        <v>1380</v>
      </c>
      <c r="B120" s="57" t="s">
        <v>274</v>
      </c>
      <c r="C120" s="57" t="s">
        <v>275</v>
      </c>
      <c r="D120" s="57" t="s">
        <v>75</v>
      </c>
      <c r="E120" s="57" t="s">
        <v>127</v>
      </c>
      <c r="F120" s="57" t="s">
        <v>76</v>
      </c>
      <c r="G120" s="57" t="s">
        <v>483</v>
      </c>
      <c r="H120" s="57" t="s">
        <v>491</v>
      </c>
      <c r="I120" s="57" t="s">
        <v>79</v>
      </c>
      <c r="J120" s="57" t="s">
        <v>483</v>
      </c>
      <c r="K120" s="57" t="s">
        <v>491</v>
      </c>
      <c r="L120" s="57" t="s">
        <v>79</v>
      </c>
      <c r="M120" s="57" t="s">
        <v>80</v>
      </c>
      <c r="N120" s="57" t="s">
        <v>80</v>
      </c>
      <c r="O120" s="57" t="s">
        <v>80</v>
      </c>
      <c r="P120" s="57" t="s">
        <v>80</v>
      </c>
      <c r="Q120" s="57" t="s">
        <v>80</v>
      </c>
      <c r="R120" s="57" t="s">
        <v>81</v>
      </c>
      <c r="S120" s="57" t="s">
        <v>81</v>
      </c>
      <c r="T120" s="57" t="s">
        <v>80</v>
      </c>
      <c r="U120" s="57" t="s">
        <v>80</v>
      </c>
      <c r="V120" s="57" t="s">
        <v>80</v>
      </c>
      <c r="W120" s="57" t="s">
        <v>81</v>
      </c>
      <c r="X120" s="57" t="s">
        <v>81</v>
      </c>
      <c r="Y120" s="57" t="s">
        <v>80</v>
      </c>
      <c r="Z120" s="57" t="s">
        <v>80</v>
      </c>
      <c r="AA120" s="57" t="s">
        <v>80</v>
      </c>
      <c r="AB120" s="57" t="s">
        <v>81</v>
      </c>
      <c r="AC120" s="57" t="s">
        <v>81</v>
      </c>
      <c r="AD120" s="57" t="s">
        <v>80</v>
      </c>
      <c r="AE120" s="57" t="s">
        <v>80</v>
      </c>
      <c r="AF120" s="57" t="s">
        <v>80</v>
      </c>
      <c r="AG120" s="57" t="s">
        <v>81</v>
      </c>
      <c r="AH120" s="57" t="s">
        <v>81</v>
      </c>
      <c r="AI120" s="57" t="s">
        <v>80</v>
      </c>
      <c r="AJ120" s="57" t="s">
        <v>80</v>
      </c>
      <c r="AK120" s="57" t="s">
        <v>80</v>
      </c>
      <c r="AL120" s="57" t="s">
        <v>81</v>
      </c>
      <c r="AM120" s="57" t="s">
        <v>81</v>
      </c>
      <c r="AN120" s="57" t="s">
        <v>80</v>
      </c>
      <c r="AO120" s="57" t="s">
        <v>80</v>
      </c>
      <c r="AP120" s="57" t="s">
        <v>80</v>
      </c>
      <c r="AQ120" s="57" t="s">
        <v>81</v>
      </c>
      <c r="AR120" s="57" t="s">
        <v>81</v>
      </c>
      <c r="AS120" s="58" t="s">
        <v>80</v>
      </c>
    </row>
    <row r="121" spans="1:45">
      <c r="A121" s="59" t="s">
        <v>1380</v>
      </c>
      <c r="B121" s="59" t="s">
        <v>479</v>
      </c>
      <c r="C121" s="59" t="s">
        <v>480</v>
      </c>
      <c r="D121" s="59" t="s">
        <v>75</v>
      </c>
      <c r="E121" s="59" t="s">
        <v>111</v>
      </c>
      <c r="F121" s="59" t="s">
        <v>76</v>
      </c>
      <c r="G121" s="59" t="s">
        <v>82</v>
      </c>
      <c r="H121" s="59" t="s">
        <v>75</v>
      </c>
      <c r="I121" s="59" t="s">
        <v>75</v>
      </c>
      <c r="J121" s="59" t="s">
        <v>82</v>
      </c>
      <c r="K121" s="59" t="s">
        <v>75</v>
      </c>
      <c r="L121" s="59" t="s">
        <v>75</v>
      </c>
      <c r="M121" s="59" t="s">
        <v>80</v>
      </c>
      <c r="N121" s="59" t="s">
        <v>80</v>
      </c>
      <c r="O121" s="59" t="s">
        <v>80</v>
      </c>
      <c r="P121" s="59" t="s">
        <v>80</v>
      </c>
      <c r="Q121" s="59" t="s">
        <v>80</v>
      </c>
      <c r="R121" s="59" t="s">
        <v>81</v>
      </c>
      <c r="S121" s="59" t="s">
        <v>81</v>
      </c>
      <c r="T121" s="59" t="s">
        <v>80</v>
      </c>
      <c r="U121" s="59" t="s">
        <v>80</v>
      </c>
      <c r="V121" s="59" t="s">
        <v>80</v>
      </c>
      <c r="W121" s="59" t="s">
        <v>81</v>
      </c>
      <c r="X121" s="59" t="s">
        <v>81</v>
      </c>
      <c r="Y121" s="59" t="s">
        <v>80</v>
      </c>
      <c r="Z121" s="59" t="s">
        <v>80</v>
      </c>
      <c r="AA121" s="59" t="s">
        <v>80</v>
      </c>
      <c r="AB121" s="59" t="s">
        <v>81</v>
      </c>
      <c r="AC121" s="59" t="s">
        <v>81</v>
      </c>
      <c r="AD121" s="59" t="s">
        <v>80</v>
      </c>
      <c r="AE121" s="59" t="s">
        <v>80</v>
      </c>
      <c r="AF121" s="59" t="s">
        <v>80</v>
      </c>
      <c r="AG121" s="59" t="s">
        <v>81</v>
      </c>
      <c r="AH121" s="59" t="s">
        <v>81</v>
      </c>
      <c r="AI121" s="59" t="s">
        <v>80</v>
      </c>
      <c r="AJ121" s="59" t="s">
        <v>80</v>
      </c>
      <c r="AK121" s="59" t="s">
        <v>80</v>
      </c>
      <c r="AL121" s="59" t="s">
        <v>81</v>
      </c>
      <c r="AM121" s="59" t="s">
        <v>81</v>
      </c>
      <c r="AN121" s="59" t="s">
        <v>80</v>
      </c>
      <c r="AO121" s="59" t="s">
        <v>80</v>
      </c>
      <c r="AP121" s="59" t="s">
        <v>80</v>
      </c>
      <c r="AQ121" s="59" t="s">
        <v>81</v>
      </c>
      <c r="AR121" s="59" t="s">
        <v>81</v>
      </c>
      <c r="AS121" s="60" t="s">
        <v>80</v>
      </c>
    </row>
    <row r="122" spans="1:45">
      <c r="A122" s="57" t="s">
        <v>1380</v>
      </c>
      <c r="B122" s="57" t="s">
        <v>276</v>
      </c>
      <c r="C122" s="57" t="s">
        <v>277</v>
      </c>
      <c r="D122" s="57" t="s">
        <v>75</v>
      </c>
      <c r="E122" s="57" t="s">
        <v>1436</v>
      </c>
      <c r="F122" s="57" t="s">
        <v>76</v>
      </c>
      <c r="G122" s="57" t="s">
        <v>447</v>
      </c>
      <c r="H122" s="57" t="s">
        <v>476</v>
      </c>
      <c r="I122" s="57" t="s">
        <v>77</v>
      </c>
      <c r="J122" s="57" t="s">
        <v>447</v>
      </c>
      <c r="K122" s="57" t="s">
        <v>476</v>
      </c>
      <c r="L122" s="57" t="s">
        <v>77</v>
      </c>
      <c r="M122" s="57" t="s">
        <v>80</v>
      </c>
      <c r="N122" s="57" t="s">
        <v>80</v>
      </c>
      <c r="O122" s="57" t="s">
        <v>80</v>
      </c>
      <c r="P122" s="57" t="s">
        <v>80</v>
      </c>
      <c r="Q122" s="57" t="s">
        <v>80</v>
      </c>
      <c r="R122" s="57" t="s">
        <v>81</v>
      </c>
      <c r="S122" s="57" t="s">
        <v>81</v>
      </c>
      <c r="T122" s="57" t="s">
        <v>80</v>
      </c>
      <c r="U122" s="57" t="s">
        <v>80</v>
      </c>
      <c r="V122" s="57" t="s">
        <v>80</v>
      </c>
      <c r="W122" s="57" t="s">
        <v>81</v>
      </c>
      <c r="X122" s="57" t="s">
        <v>81</v>
      </c>
      <c r="Y122" s="57" t="s">
        <v>80</v>
      </c>
      <c r="Z122" s="57" t="s">
        <v>80</v>
      </c>
      <c r="AA122" s="57" t="s">
        <v>80</v>
      </c>
      <c r="AB122" s="57" t="s">
        <v>81</v>
      </c>
      <c r="AC122" s="57" t="s">
        <v>81</v>
      </c>
      <c r="AD122" s="57" t="s">
        <v>80</v>
      </c>
      <c r="AE122" s="57" t="s">
        <v>80</v>
      </c>
      <c r="AF122" s="57" t="s">
        <v>80</v>
      </c>
      <c r="AG122" s="57" t="s">
        <v>81</v>
      </c>
      <c r="AH122" s="57" t="s">
        <v>81</v>
      </c>
      <c r="AI122" s="57" t="s">
        <v>80</v>
      </c>
      <c r="AJ122" s="57" t="s">
        <v>80</v>
      </c>
      <c r="AK122" s="57" t="s">
        <v>80</v>
      </c>
      <c r="AL122" s="57" t="s">
        <v>81</v>
      </c>
      <c r="AM122" s="57" t="s">
        <v>81</v>
      </c>
      <c r="AN122" s="57" t="s">
        <v>80</v>
      </c>
      <c r="AO122" s="57" t="s">
        <v>80</v>
      </c>
      <c r="AP122" s="57" t="s">
        <v>80</v>
      </c>
      <c r="AQ122" s="57" t="s">
        <v>81</v>
      </c>
      <c r="AR122" s="57" t="s">
        <v>81</v>
      </c>
      <c r="AS122" s="58" t="s">
        <v>80</v>
      </c>
    </row>
    <row r="123" spans="1:45">
      <c r="A123" s="59" t="s">
        <v>1380</v>
      </c>
      <c r="B123" s="59" t="s">
        <v>278</v>
      </c>
      <c r="C123" s="59" t="s">
        <v>279</v>
      </c>
      <c r="D123" s="59" t="s">
        <v>75</v>
      </c>
      <c r="E123" s="59" t="s">
        <v>405</v>
      </c>
      <c r="F123" s="59" t="s">
        <v>76</v>
      </c>
      <c r="G123" s="59" t="s">
        <v>82</v>
      </c>
      <c r="H123" s="59" t="s">
        <v>75</v>
      </c>
      <c r="I123" s="59" t="s">
        <v>75</v>
      </c>
      <c r="J123" s="59" t="s">
        <v>82</v>
      </c>
      <c r="K123" s="59" t="s">
        <v>75</v>
      </c>
      <c r="L123" s="59" t="s">
        <v>75</v>
      </c>
      <c r="M123" s="59" t="s">
        <v>80</v>
      </c>
      <c r="N123" s="59" t="s">
        <v>80</v>
      </c>
      <c r="O123" s="59" t="s">
        <v>80</v>
      </c>
      <c r="P123" s="59" t="s">
        <v>80</v>
      </c>
      <c r="Q123" s="59" t="s">
        <v>80</v>
      </c>
      <c r="R123" s="59" t="s">
        <v>81</v>
      </c>
      <c r="S123" s="59" t="s">
        <v>81</v>
      </c>
      <c r="T123" s="59" t="s">
        <v>80</v>
      </c>
      <c r="U123" s="59" t="s">
        <v>80</v>
      </c>
      <c r="V123" s="59" t="s">
        <v>80</v>
      </c>
      <c r="W123" s="59" t="s">
        <v>81</v>
      </c>
      <c r="X123" s="59" t="s">
        <v>81</v>
      </c>
      <c r="Y123" s="59" t="s">
        <v>80</v>
      </c>
      <c r="Z123" s="59" t="s">
        <v>80</v>
      </c>
      <c r="AA123" s="59" t="s">
        <v>80</v>
      </c>
      <c r="AB123" s="59" t="s">
        <v>81</v>
      </c>
      <c r="AC123" s="59" t="s">
        <v>81</v>
      </c>
      <c r="AD123" s="59" t="s">
        <v>80</v>
      </c>
      <c r="AE123" s="59" t="s">
        <v>80</v>
      </c>
      <c r="AF123" s="59" t="s">
        <v>80</v>
      </c>
      <c r="AG123" s="59" t="s">
        <v>81</v>
      </c>
      <c r="AH123" s="59" t="s">
        <v>81</v>
      </c>
      <c r="AI123" s="59" t="s">
        <v>80</v>
      </c>
      <c r="AJ123" s="59" t="s">
        <v>80</v>
      </c>
      <c r="AK123" s="59" t="s">
        <v>80</v>
      </c>
      <c r="AL123" s="59" t="s">
        <v>81</v>
      </c>
      <c r="AM123" s="59" t="s">
        <v>81</v>
      </c>
      <c r="AN123" s="59" t="s">
        <v>80</v>
      </c>
      <c r="AO123" s="59" t="s">
        <v>80</v>
      </c>
      <c r="AP123" s="59" t="s">
        <v>80</v>
      </c>
      <c r="AQ123" s="59" t="s">
        <v>81</v>
      </c>
      <c r="AR123" s="59" t="s">
        <v>81</v>
      </c>
      <c r="AS123" s="60" t="s">
        <v>80</v>
      </c>
    </row>
    <row r="124" spans="1:45">
      <c r="A124" s="57" t="s">
        <v>1380</v>
      </c>
      <c r="B124" s="57" t="s">
        <v>280</v>
      </c>
      <c r="C124" s="57" t="s">
        <v>281</v>
      </c>
      <c r="D124" s="57" t="s">
        <v>75</v>
      </c>
      <c r="E124" s="57" t="s">
        <v>1437</v>
      </c>
      <c r="F124" s="57" t="s">
        <v>76</v>
      </c>
      <c r="G124" s="57" t="s">
        <v>82</v>
      </c>
      <c r="H124" s="57" t="s">
        <v>75</v>
      </c>
      <c r="I124" s="57" t="s">
        <v>75</v>
      </c>
      <c r="J124" s="57" t="s">
        <v>82</v>
      </c>
      <c r="K124" s="57" t="s">
        <v>75</v>
      </c>
      <c r="L124" s="57" t="s">
        <v>75</v>
      </c>
      <c r="M124" s="57" t="s">
        <v>80</v>
      </c>
      <c r="N124" s="57" t="s">
        <v>80</v>
      </c>
      <c r="O124" s="57" t="s">
        <v>80</v>
      </c>
      <c r="P124" s="57" t="s">
        <v>80</v>
      </c>
      <c r="Q124" s="57" t="s">
        <v>80</v>
      </c>
      <c r="R124" s="57" t="s">
        <v>81</v>
      </c>
      <c r="S124" s="57" t="s">
        <v>81</v>
      </c>
      <c r="T124" s="57" t="s">
        <v>80</v>
      </c>
      <c r="U124" s="57" t="s">
        <v>80</v>
      </c>
      <c r="V124" s="57" t="s">
        <v>80</v>
      </c>
      <c r="W124" s="57" t="s">
        <v>81</v>
      </c>
      <c r="X124" s="57" t="s">
        <v>81</v>
      </c>
      <c r="Y124" s="57" t="s">
        <v>80</v>
      </c>
      <c r="Z124" s="57" t="s">
        <v>80</v>
      </c>
      <c r="AA124" s="57" t="s">
        <v>80</v>
      </c>
      <c r="AB124" s="57" t="s">
        <v>81</v>
      </c>
      <c r="AC124" s="57" t="s">
        <v>81</v>
      </c>
      <c r="AD124" s="57" t="s">
        <v>80</v>
      </c>
      <c r="AE124" s="57" t="s">
        <v>80</v>
      </c>
      <c r="AF124" s="57" t="s">
        <v>80</v>
      </c>
      <c r="AG124" s="57" t="s">
        <v>81</v>
      </c>
      <c r="AH124" s="57" t="s">
        <v>81</v>
      </c>
      <c r="AI124" s="57" t="s">
        <v>80</v>
      </c>
      <c r="AJ124" s="57" t="s">
        <v>80</v>
      </c>
      <c r="AK124" s="57" t="s">
        <v>80</v>
      </c>
      <c r="AL124" s="57" t="s">
        <v>81</v>
      </c>
      <c r="AM124" s="57" t="s">
        <v>81</v>
      </c>
      <c r="AN124" s="57" t="s">
        <v>80</v>
      </c>
      <c r="AO124" s="57" t="s">
        <v>80</v>
      </c>
      <c r="AP124" s="57" t="s">
        <v>80</v>
      </c>
      <c r="AQ124" s="57" t="s">
        <v>81</v>
      </c>
      <c r="AR124" s="57" t="s">
        <v>81</v>
      </c>
      <c r="AS124" s="58" t="s">
        <v>80</v>
      </c>
    </row>
    <row r="125" spans="1:45">
      <c r="A125" s="59" t="s">
        <v>1380</v>
      </c>
      <c r="B125" s="59" t="s">
        <v>481</v>
      </c>
      <c r="C125" s="59" t="s">
        <v>482</v>
      </c>
      <c r="D125" s="59" t="s">
        <v>75</v>
      </c>
      <c r="E125" s="59" t="s">
        <v>1399</v>
      </c>
      <c r="F125" s="59" t="s">
        <v>76</v>
      </c>
      <c r="G125" s="59" t="s">
        <v>82</v>
      </c>
      <c r="H125" s="59" t="s">
        <v>75</v>
      </c>
      <c r="I125" s="59" t="s">
        <v>75</v>
      </c>
      <c r="J125" s="59" t="s">
        <v>82</v>
      </c>
      <c r="K125" s="59" t="s">
        <v>75</v>
      </c>
      <c r="L125" s="59" t="s">
        <v>75</v>
      </c>
      <c r="M125" s="59" t="s">
        <v>80</v>
      </c>
      <c r="N125" s="59" t="s">
        <v>80</v>
      </c>
      <c r="O125" s="59" t="s">
        <v>80</v>
      </c>
      <c r="P125" s="59" t="s">
        <v>80</v>
      </c>
      <c r="Q125" s="59" t="s">
        <v>80</v>
      </c>
      <c r="R125" s="59" t="s">
        <v>81</v>
      </c>
      <c r="S125" s="59" t="s">
        <v>81</v>
      </c>
      <c r="T125" s="59" t="s">
        <v>80</v>
      </c>
      <c r="U125" s="59" t="s">
        <v>80</v>
      </c>
      <c r="V125" s="59" t="s">
        <v>80</v>
      </c>
      <c r="W125" s="59" t="s">
        <v>81</v>
      </c>
      <c r="X125" s="59" t="s">
        <v>81</v>
      </c>
      <c r="Y125" s="59" t="s">
        <v>80</v>
      </c>
      <c r="Z125" s="59" t="s">
        <v>80</v>
      </c>
      <c r="AA125" s="59" t="s">
        <v>80</v>
      </c>
      <c r="AB125" s="59" t="s">
        <v>81</v>
      </c>
      <c r="AC125" s="59" t="s">
        <v>81</v>
      </c>
      <c r="AD125" s="59" t="s">
        <v>80</v>
      </c>
      <c r="AE125" s="59" t="s">
        <v>80</v>
      </c>
      <c r="AF125" s="59" t="s">
        <v>80</v>
      </c>
      <c r="AG125" s="59" t="s">
        <v>81</v>
      </c>
      <c r="AH125" s="59" t="s">
        <v>81</v>
      </c>
      <c r="AI125" s="59" t="s">
        <v>80</v>
      </c>
      <c r="AJ125" s="59" t="s">
        <v>80</v>
      </c>
      <c r="AK125" s="59" t="s">
        <v>80</v>
      </c>
      <c r="AL125" s="59" t="s">
        <v>81</v>
      </c>
      <c r="AM125" s="59" t="s">
        <v>81</v>
      </c>
      <c r="AN125" s="59" t="s">
        <v>80</v>
      </c>
      <c r="AO125" s="59" t="s">
        <v>80</v>
      </c>
      <c r="AP125" s="59" t="s">
        <v>80</v>
      </c>
      <c r="AQ125" s="59" t="s">
        <v>81</v>
      </c>
      <c r="AR125" s="59" t="s">
        <v>81</v>
      </c>
      <c r="AS125" s="60" t="s">
        <v>80</v>
      </c>
    </row>
    <row r="126" spans="1:45">
      <c r="A126" s="57" t="s">
        <v>1380</v>
      </c>
      <c r="B126" s="57" t="s">
        <v>1438</v>
      </c>
      <c r="C126" s="57" t="s">
        <v>1156</v>
      </c>
      <c r="D126" s="57" t="s">
        <v>75</v>
      </c>
      <c r="E126" s="57" t="s">
        <v>83</v>
      </c>
      <c r="F126" s="57" t="s">
        <v>76</v>
      </c>
      <c r="G126" s="57" t="s">
        <v>90</v>
      </c>
      <c r="H126" s="57" t="s">
        <v>91</v>
      </c>
      <c r="I126" s="57" t="s">
        <v>75</v>
      </c>
      <c r="J126" s="57" t="s">
        <v>90</v>
      </c>
      <c r="K126" s="57" t="s">
        <v>91</v>
      </c>
      <c r="L126" s="57" t="s">
        <v>75</v>
      </c>
      <c r="M126" s="57" t="s">
        <v>80</v>
      </c>
      <c r="N126" s="57" t="s">
        <v>80</v>
      </c>
      <c r="O126" s="57" t="s">
        <v>80</v>
      </c>
      <c r="P126" s="57" t="s">
        <v>80</v>
      </c>
      <c r="Q126" s="57" t="s">
        <v>80</v>
      </c>
      <c r="R126" s="57" t="s">
        <v>81</v>
      </c>
      <c r="S126" s="57" t="s">
        <v>81</v>
      </c>
      <c r="T126" s="57" t="s">
        <v>80</v>
      </c>
      <c r="U126" s="57" t="s">
        <v>80</v>
      </c>
      <c r="V126" s="57" t="s">
        <v>80</v>
      </c>
      <c r="W126" s="57" t="s">
        <v>81</v>
      </c>
      <c r="X126" s="57" t="s">
        <v>81</v>
      </c>
      <c r="Y126" s="57" t="s">
        <v>80</v>
      </c>
      <c r="Z126" s="57" t="s">
        <v>80</v>
      </c>
      <c r="AA126" s="57" t="s">
        <v>80</v>
      </c>
      <c r="AB126" s="57" t="s">
        <v>81</v>
      </c>
      <c r="AC126" s="57" t="s">
        <v>81</v>
      </c>
      <c r="AD126" s="57" t="s">
        <v>80</v>
      </c>
      <c r="AE126" s="57" t="s">
        <v>80</v>
      </c>
      <c r="AF126" s="57" t="s">
        <v>80</v>
      </c>
      <c r="AG126" s="57" t="s">
        <v>81</v>
      </c>
      <c r="AH126" s="57" t="s">
        <v>81</v>
      </c>
      <c r="AI126" s="57" t="s">
        <v>80</v>
      </c>
      <c r="AJ126" s="57" t="s">
        <v>80</v>
      </c>
      <c r="AK126" s="57" t="s">
        <v>80</v>
      </c>
      <c r="AL126" s="57" t="s">
        <v>81</v>
      </c>
      <c r="AM126" s="57" t="s">
        <v>81</v>
      </c>
      <c r="AN126" s="57" t="s">
        <v>80</v>
      </c>
      <c r="AO126" s="57" t="s">
        <v>80</v>
      </c>
      <c r="AP126" s="57" t="s">
        <v>80</v>
      </c>
      <c r="AQ126" s="57" t="s">
        <v>81</v>
      </c>
      <c r="AR126" s="57" t="s">
        <v>81</v>
      </c>
      <c r="AS126" s="58" t="s">
        <v>80</v>
      </c>
    </row>
    <row r="127" spans="1:45">
      <c r="A127" s="59" t="s">
        <v>1380</v>
      </c>
      <c r="B127" s="59" t="s">
        <v>282</v>
      </c>
      <c r="C127" s="59" t="s">
        <v>283</v>
      </c>
      <c r="D127" s="59" t="s">
        <v>75</v>
      </c>
      <c r="E127" s="59" t="s">
        <v>1439</v>
      </c>
      <c r="F127" s="59" t="s">
        <v>76</v>
      </c>
      <c r="G127" s="59" t="s">
        <v>162</v>
      </c>
      <c r="H127" s="59" t="s">
        <v>210</v>
      </c>
      <c r="I127" s="59" t="s">
        <v>79</v>
      </c>
      <c r="J127" s="59" t="s">
        <v>162</v>
      </c>
      <c r="K127" s="59" t="s">
        <v>210</v>
      </c>
      <c r="L127" s="59" t="s">
        <v>79</v>
      </c>
      <c r="M127" s="59" t="s">
        <v>80</v>
      </c>
      <c r="N127" s="59" t="s">
        <v>80</v>
      </c>
      <c r="O127" s="59" t="s">
        <v>80</v>
      </c>
      <c r="P127" s="59" t="s">
        <v>80</v>
      </c>
      <c r="Q127" s="59" t="s">
        <v>80</v>
      </c>
      <c r="R127" s="59" t="s">
        <v>81</v>
      </c>
      <c r="S127" s="59" t="s">
        <v>81</v>
      </c>
      <c r="T127" s="59" t="s">
        <v>80</v>
      </c>
      <c r="U127" s="59" t="s">
        <v>80</v>
      </c>
      <c r="V127" s="59" t="s">
        <v>80</v>
      </c>
      <c r="W127" s="59" t="s">
        <v>81</v>
      </c>
      <c r="X127" s="59" t="s">
        <v>81</v>
      </c>
      <c r="Y127" s="59" t="s">
        <v>80</v>
      </c>
      <c r="Z127" s="59" t="s">
        <v>80</v>
      </c>
      <c r="AA127" s="59" t="s">
        <v>80</v>
      </c>
      <c r="AB127" s="59" t="s">
        <v>81</v>
      </c>
      <c r="AC127" s="59" t="s">
        <v>81</v>
      </c>
      <c r="AD127" s="59" t="s">
        <v>80</v>
      </c>
      <c r="AE127" s="59" t="s">
        <v>80</v>
      </c>
      <c r="AF127" s="59" t="s">
        <v>80</v>
      </c>
      <c r="AG127" s="59" t="s">
        <v>81</v>
      </c>
      <c r="AH127" s="59" t="s">
        <v>81</v>
      </c>
      <c r="AI127" s="59" t="s">
        <v>80</v>
      </c>
      <c r="AJ127" s="59" t="s">
        <v>80</v>
      </c>
      <c r="AK127" s="59" t="s">
        <v>80</v>
      </c>
      <c r="AL127" s="59" t="s">
        <v>81</v>
      </c>
      <c r="AM127" s="59" t="s">
        <v>81</v>
      </c>
      <c r="AN127" s="59" t="s">
        <v>80</v>
      </c>
      <c r="AO127" s="59" t="s">
        <v>80</v>
      </c>
      <c r="AP127" s="59" t="s">
        <v>80</v>
      </c>
      <c r="AQ127" s="59" t="s">
        <v>81</v>
      </c>
      <c r="AR127" s="59" t="s">
        <v>81</v>
      </c>
      <c r="AS127" s="60" t="s">
        <v>80</v>
      </c>
    </row>
    <row r="128" spans="1:45">
      <c r="A128" s="57" t="s">
        <v>1380</v>
      </c>
      <c r="B128" s="57" t="s">
        <v>284</v>
      </c>
      <c r="C128" s="57" t="s">
        <v>285</v>
      </c>
      <c r="D128" s="57" t="s">
        <v>75</v>
      </c>
      <c r="E128" s="57" t="s">
        <v>1399</v>
      </c>
      <c r="F128" s="57" t="s">
        <v>76</v>
      </c>
      <c r="G128" s="57" t="s">
        <v>126</v>
      </c>
      <c r="H128" s="57" t="s">
        <v>256</v>
      </c>
      <c r="I128" s="57" t="s">
        <v>88</v>
      </c>
      <c r="J128" s="57" t="s">
        <v>126</v>
      </c>
      <c r="K128" s="57" t="s">
        <v>256</v>
      </c>
      <c r="L128" s="57" t="s">
        <v>88</v>
      </c>
      <c r="M128" s="57" t="s">
        <v>80</v>
      </c>
      <c r="N128" s="57" t="s">
        <v>80</v>
      </c>
      <c r="O128" s="57" t="s">
        <v>80</v>
      </c>
      <c r="P128" s="57" t="s">
        <v>80</v>
      </c>
      <c r="Q128" s="57" t="s">
        <v>80</v>
      </c>
      <c r="R128" s="57" t="s">
        <v>81</v>
      </c>
      <c r="S128" s="57" t="s">
        <v>81</v>
      </c>
      <c r="T128" s="57" t="s">
        <v>80</v>
      </c>
      <c r="U128" s="57" t="s">
        <v>80</v>
      </c>
      <c r="V128" s="57" t="s">
        <v>80</v>
      </c>
      <c r="W128" s="57" t="s">
        <v>81</v>
      </c>
      <c r="X128" s="57" t="s">
        <v>81</v>
      </c>
      <c r="Y128" s="57" t="s">
        <v>80</v>
      </c>
      <c r="Z128" s="57" t="s">
        <v>80</v>
      </c>
      <c r="AA128" s="57" t="s">
        <v>80</v>
      </c>
      <c r="AB128" s="57" t="s">
        <v>81</v>
      </c>
      <c r="AC128" s="57" t="s">
        <v>81</v>
      </c>
      <c r="AD128" s="57" t="s">
        <v>80</v>
      </c>
      <c r="AE128" s="57" t="s">
        <v>80</v>
      </c>
      <c r="AF128" s="57" t="s">
        <v>80</v>
      </c>
      <c r="AG128" s="57" t="s">
        <v>81</v>
      </c>
      <c r="AH128" s="57" t="s">
        <v>81</v>
      </c>
      <c r="AI128" s="57" t="s">
        <v>80</v>
      </c>
      <c r="AJ128" s="57" t="s">
        <v>80</v>
      </c>
      <c r="AK128" s="57" t="s">
        <v>80</v>
      </c>
      <c r="AL128" s="57" t="s">
        <v>81</v>
      </c>
      <c r="AM128" s="57" t="s">
        <v>81</v>
      </c>
      <c r="AN128" s="57" t="s">
        <v>80</v>
      </c>
      <c r="AO128" s="57" t="s">
        <v>80</v>
      </c>
      <c r="AP128" s="57" t="s">
        <v>80</v>
      </c>
      <c r="AQ128" s="57" t="s">
        <v>81</v>
      </c>
      <c r="AR128" s="57" t="s">
        <v>81</v>
      </c>
      <c r="AS128" s="58" t="s">
        <v>80</v>
      </c>
    </row>
    <row r="129" spans="1:45">
      <c r="A129" s="59" t="s">
        <v>1380</v>
      </c>
      <c r="B129" s="59" t="s">
        <v>286</v>
      </c>
      <c r="C129" s="59" t="s">
        <v>287</v>
      </c>
      <c r="D129" s="59" t="s">
        <v>75</v>
      </c>
      <c r="E129" s="59" t="s">
        <v>81</v>
      </c>
      <c r="F129" s="59" t="s">
        <v>76</v>
      </c>
      <c r="G129" s="59" t="s">
        <v>90</v>
      </c>
      <c r="H129" s="59" t="s">
        <v>75</v>
      </c>
      <c r="I129" s="59" t="s">
        <v>79</v>
      </c>
      <c r="J129" s="59" t="s">
        <v>90</v>
      </c>
      <c r="K129" s="59" t="s">
        <v>75</v>
      </c>
      <c r="L129" s="59" t="s">
        <v>79</v>
      </c>
      <c r="M129" s="59" t="s">
        <v>80</v>
      </c>
      <c r="N129" s="59" t="s">
        <v>80</v>
      </c>
      <c r="O129" s="59" t="s">
        <v>80</v>
      </c>
      <c r="P129" s="59" t="s">
        <v>80</v>
      </c>
      <c r="Q129" s="59" t="s">
        <v>80</v>
      </c>
      <c r="R129" s="59" t="s">
        <v>81</v>
      </c>
      <c r="S129" s="59" t="s">
        <v>81</v>
      </c>
      <c r="T129" s="59" t="s">
        <v>80</v>
      </c>
      <c r="U129" s="59" t="s">
        <v>80</v>
      </c>
      <c r="V129" s="59" t="s">
        <v>80</v>
      </c>
      <c r="W129" s="59" t="s">
        <v>81</v>
      </c>
      <c r="X129" s="59" t="s">
        <v>81</v>
      </c>
      <c r="Y129" s="59" t="s">
        <v>80</v>
      </c>
      <c r="Z129" s="59" t="s">
        <v>80</v>
      </c>
      <c r="AA129" s="59" t="s">
        <v>80</v>
      </c>
      <c r="AB129" s="59" t="s">
        <v>81</v>
      </c>
      <c r="AC129" s="59" t="s">
        <v>81</v>
      </c>
      <c r="AD129" s="59" t="s">
        <v>80</v>
      </c>
      <c r="AE129" s="59" t="s">
        <v>80</v>
      </c>
      <c r="AF129" s="59" t="s">
        <v>80</v>
      </c>
      <c r="AG129" s="59" t="s">
        <v>81</v>
      </c>
      <c r="AH129" s="59" t="s">
        <v>81</v>
      </c>
      <c r="AI129" s="59" t="s">
        <v>80</v>
      </c>
      <c r="AJ129" s="59" t="s">
        <v>80</v>
      </c>
      <c r="AK129" s="59" t="s">
        <v>80</v>
      </c>
      <c r="AL129" s="59" t="s">
        <v>81</v>
      </c>
      <c r="AM129" s="59" t="s">
        <v>81</v>
      </c>
      <c r="AN129" s="59" t="s">
        <v>80</v>
      </c>
      <c r="AO129" s="59" t="s">
        <v>80</v>
      </c>
      <c r="AP129" s="59" t="s">
        <v>80</v>
      </c>
      <c r="AQ129" s="59" t="s">
        <v>81</v>
      </c>
      <c r="AR129" s="59" t="s">
        <v>81</v>
      </c>
      <c r="AS129" s="60" t="s">
        <v>80</v>
      </c>
    </row>
    <row r="130" spans="1:45">
      <c r="A130" s="57" t="s">
        <v>1380</v>
      </c>
      <c r="B130" s="57" t="s">
        <v>288</v>
      </c>
      <c r="C130" s="57" t="s">
        <v>289</v>
      </c>
      <c r="D130" s="57" t="s">
        <v>75</v>
      </c>
      <c r="E130" s="57" t="s">
        <v>165</v>
      </c>
      <c r="F130" s="57" t="s">
        <v>76</v>
      </c>
      <c r="G130" s="57" t="s">
        <v>77</v>
      </c>
      <c r="H130" s="57" t="s">
        <v>78</v>
      </c>
      <c r="I130" s="57" t="s">
        <v>79</v>
      </c>
      <c r="J130" s="57" t="s">
        <v>77</v>
      </c>
      <c r="K130" s="57" t="s">
        <v>78</v>
      </c>
      <c r="L130" s="57" t="s">
        <v>79</v>
      </c>
      <c r="M130" s="57" t="s">
        <v>80</v>
      </c>
      <c r="N130" s="57" t="s">
        <v>80</v>
      </c>
      <c r="O130" s="57" t="s">
        <v>80</v>
      </c>
      <c r="P130" s="57" t="s">
        <v>80</v>
      </c>
      <c r="Q130" s="57" t="s">
        <v>80</v>
      </c>
      <c r="R130" s="57" t="s">
        <v>81</v>
      </c>
      <c r="S130" s="57" t="s">
        <v>81</v>
      </c>
      <c r="T130" s="57" t="s">
        <v>80</v>
      </c>
      <c r="U130" s="57" t="s">
        <v>80</v>
      </c>
      <c r="V130" s="57" t="s">
        <v>80</v>
      </c>
      <c r="W130" s="57" t="s">
        <v>81</v>
      </c>
      <c r="X130" s="57" t="s">
        <v>81</v>
      </c>
      <c r="Y130" s="57" t="s">
        <v>80</v>
      </c>
      <c r="Z130" s="57" t="s">
        <v>80</v>
      </c>
      <c r="AA130" s="57" t="s">
        <v>80</v>
      </c>
      <c r="AB130" s="57" t="s">
        <v>81</v>
      </c>
      <c r="AC130" s="57" t="s">
        <v>81</v>
      </c>
      <c r="AD130" s="57" t="s">
        <v>80</v>
      </c>
      <c r="AE130" s="57" t="s">
        <v>80</v>
      </c>
      <c r="AF130" s="57" t="s">
        <v>80</v>
      </c>
      <c r="AG130" s="57" t="s">
        <v>81</v>
      </c>
      <c r="AH130" s="57" t="s">
        <v>81</v>
      </c>
      <c r="AI130" s="57" t="s">
        <v>80</v>
      </c>
      <c r="AJ130" s="57" t="s">
        <v>80</v>
      </c>
      <c r="AK130" s="57" t="s">
        <v>80</v>
      </c>
      <c r="AL130" s="57" t="s">
        <v>81</v>
      </c>
      <c r="AM130" s="57" t="s">
        <v>81</v>
      </c>
      <c r="AN130" s="57" t="s">
        <v>80</v>
      </c>
      <c r="AO130" s="57" t="s">
        <v>80</v>
      </c>
      <c r="AP130" s="57" t="s">
        <v>80</v>
      </c>
      <c r="AQ130" s="57" t="s">
        <v>81</v>
      </c>
      <c r="AR130" s="57" t="s">
        <v>81</v>
      </c>
      <c r="AS130" s="58" t="s">
        <v>80</v>
      </c>
    </row>
    <row r="131" spans="1:45">
      <c r="A131" s="59" t="s">
        <v>1380</v>
      </c>
      <c r="B131" s="59" t="s">
        <v>291</v>
      </c>
      <c r="C131" s="59" t="s">
        <v>292</v>
      </c>
      <c r="D131" s="59" t="s">
        <v>75</v>
      </c>
      <c r="E131" s="59" t="s">
        <v>1440</v>
      </c>
      <c r="F131" s="59" t="s">
        <v>76</v>
      </c>
      <c r="G131" s="59" t="s">
        <v>1441</v>
      </c>
      <c r="H131" s="59" t="s">
        <v>1408</v>
      </c>
      <c r="I131" s="59" t="s">
        <v>85</v>
      </c>
      <c r="J131" s="59" t="s">
        <v>1441</v>
      </c>
      <c r="K131" s="59" t="s">
        <v>1408</v>
      </c>
      <c r="L131" s="59" t="s">
        <v>85</v>
      </c>
      <c r="M131" s="59" t="s">
        <v>80</v>
      </c>
      <c r="N131" s="59" t="s">
        <v>80</v>
      </c>
      <c r="O131" s="59" t="s">
        <v>80</v>
      </c>
      <c r="P131" s="59" t="s">
        <v>80</v>
      </c>
      <c r="Q131" s="59" t="s">
        <v>80</v>
      </c>
      <c r="R131" s="59" t="s">
        <v>81</v>
      </c>
      <c r="S131" s="59" t="s">
        <v>81</v>
      </c>
      <c r="T131" s="59" t="s">
        <v>80</v>
      </c>
      <c r="U131" s="59" t="s">
        <v>80</v>
      </c>
      <c r="V131" s="59" t="s">
        <v>80</v>
      </c>
      <c r="W131" s="59" t="s">
        <v>81</v>
      </c>
      <c r="X131" s="59" t="s">
        <v>81</v>
      </c>
      <c r="Y131" s="59" t="s">
        <v>80</v>
      </c>
      <c r="Z131" s="59" t="s">
        <v>80</v>
      </c>
      <c r="AA131" s="59" t="s">
        <v>80</v>
      </c>
      <c r="AB131" s="59" t="s">
        <v>81</v>
      </c>
      <c r="AC131" s="59" t="s">
        <v>81</v>
      </c>
      <c r="AD131" s="59" t="s">
        <v>80</v>
      </c>
      <c r="AE131" s="59" t="s">
        <v>80</v>
      </c>
      <c r="AF131" s="59" t="s">
        <v>80</v>
      </c>
      <c r="AG131" s="59" t="s">
        <v>81</v>
      </c>
      <c r="AH131" s="59" t="s">
        <v>81</v>
      </c>
      <c r="AI131" s="59" t="s">
        <v>80</v>
      </c>
      <c r="AJ131" s="59" t="s">
        <v>80</v>
      </c>
      <c r="AK131" s="59" t="s">
        <v>80</v>
      </c>
      <c r="AL131" s="59" t="s">
        <v>81</v>
      </c>
      <c r="AM131" s="59" t="s">
        <v>81</v>
      </c>
      <c r="AN131" s="59" t="s">
        <v>80</v>
      </c>
      <c r="AO131" s="59" t="s">
        <v>80</v>
      </c>
      <c r="AP131" s="59" t="s">
        <v>80</v>
      </c>
      <c r="AQ131" s="59" t="s">
        <v>81</v>
      </c>
      <c r="AR131" s="59" t="s">
        <v>81</v>
      </c>
      <c r="AS131" s="60" t="s">
        <v>80</v>
      </c>
    </row>
    <row r="132" spans="1:45">
      <c r="A132" s="57" t="s">
        <v>1380</v>
      </c>
      <c r="B132" s="57" t="s">
        <v>293</v>
      </c>
      <c r="C132" s="57" t="s">
        <v>294</v>
      </c>
      <c r="D132" s="57" t="s">
        <v>75</v>
      </c>
      <c r="E132" s="57" t="s">
        <v>81</v>
      </c>
      <c r="F132" s="57" t="s">
        <v>76</v>
      </c>
      <c r="G132" s="57" t="s">
        <v>93</v>
      </c>
      <c r="H132" s="57" t="s">
        <v>103</v>
      </c>
      <c r="I132" s="57" t="s">
        <v>79</v>
      </c>
      <c r="J132" s="57" t="s">
        <v>93</v>
      </c>
      <c r="K132" s="57" t="s">
        <v>103</v>
      </c>
      <c r="L132" s="57" t="s">
        <v>79</v>
      </c>
      <c r="M132" s="57" t="s">
        <v>80</v>
      </c>
      <c r="N132" s="57" t="s">
        <v>80</v>
      </c>
      <c r="O132" s="57" t="s">
        <v>80</v>
      </c>
      <c r="P132" s="57" t="s">
        <v>80</v>
      </c>
      <c r="Q132" s="57" t="s">
        <v>80</v>
      </c>
      <c r="R132" s="57" t="s">
        <v>81</v>
      </c>
      <c r="S132" s="57" t="s">
        <v>81</v>
      </c>
      <c r="T132" s="57" t="s">
        <v>80</v>
      </c>
      <c r="U132" s="57" t="s">
        <v>80</v>
      </c>
      <c r="V132" s="57" t="s">
        <v>80</v>
      </c>
      <c r="W132" s="57" t="s">
        <v>81</v>
      </c>
      <c r="X132" s="57" t="s">
        <v>81</v>
      </c>
      <c r="Y132" s="57" t="s">
        <v>80</v>
      </c>
      <c r="Z132" s="57" t="s">
        <v>80</v>
      </c>
      <c r="AA132" s="57" t="s">
        <v>80</v>
      </c>
      <c r="AB132" s="57" t="s">
        <v>81</v>
      </c>
      <c r="AC132" s="57" t="s">
        <v>81</v>
      </c>
      <c r="AD132" s="57" t="s">
        <v>80</v>
      </c>
      <c r="AE132" s="57" t="s">
        <v>80</v>
      </c>
      <c r="AF132" s="57" t="s">
        <v>80</v>
      </c>
      <c r="AG132" s="57" t="s">
        <v>81</v>
      </c>
      <c r="AH132" s="57" t="s">
        <v>81</v>
      </c>
      <c r="AI132" s="57" t="s">
        <v>80</v>
      </c>
      <c r="AJ132" s="57" t="s">
        <v>80</v>
      </c>
      <c r="AK132" s="57" t="s">
        <v>80</v>
      </c>
      <c r="AL132" s="57" t="s">
        <v>81</v>
      </c>
      <c r="AM132" s="57" t="s">
        <v>81</v>
      </c>
      <c r="AN132" s="57" t="s">
        <v>80</v>
      </c>
      <c r="AO132" s="57" t="s">
        <v>80</v>
      </c>
      <c r="AP132" s="57" t="s">
        <v>80</v>
      </c>
      <c r="AQ132" s="57" t="s">
        <v>81</v>
      </c>
      <c r="AR132" s="57" t="s">
        <v>81</v>
      </c>
      <c r="AS132" s="58" t="s">
        <v>80</v>
      </c>
    </row>
    <row r="133" spans="1:45">
      <c r="A133" s="59" t="s">
        <v>1380</v>
      </c>
      <c r="B133" s="59" t="s">
        <v>295</v>
      </c>
      <c r="C133" s="59" t="s">
        <v>296</v>
      </c>
      <c r="D133" s="59" t="s">
        <v>75</v>
      </c>
      <c r="E133" s="59" t="s">
        <v>111</v>
      </c>
      <c r="F133" s="59" t="s">
        <v>76</v>
      </c>
      <c r="G133" s="59" t="s">
        <v>483</v>
      </c>
      <c r="H133" s="59" t="s">
        <v>484</v>
      </c>
      <c r="I133" s="59" t="s">
        <v>77</v>
      </c>
      <c r="J133" s="59" t="s">
        <v>485</v>
      </c>
      <c r="K133" s="59" t="s">
        <v>486</v>
      </c>
      <c r="L133" s="59" t="s">
        <v>77</v>
      </c>
      <c r="M133" s="59" t="s">
        <v>90</v>
      </c>
      <c r="N133" s="59" t="s">
        <v>75</v>
      </c>
      <c r="O133" s="59" t="s">
        <v>79</v>
      </c>
      <c r="P133" s="59" t="s">
        <v>80</v>
      </c>
      <c r="Q133" s="59" t="s">
        <v>80</v>
      </c>
      <c r="R133" s="59" t="s">
        <v>81</v>
      </c>
      <c r="S133" s="59" t="s">
        <v>81</v>
      </c>
      <c r="T133" s="59" t="s">
        <v>80</v>
      </c>
      <c r="U133" s="59" t="s">
        <v>80</v>
      </c>
      <c r="V133" s="59" t="s">
        <v>80</v>
      </c>
      <c r="W133" s="59" t="s">
        <v>81</v>
      </c>
      <c r="X133" s="59" t="s">
        <v>81</v>
      </c>
      <c r="Y133" s="59" t="s">
        <v>80</v>
      </c>
      <c r="Z133" s="59" t="s">
        <v>80</v>
      </c>
      <c r="AA133" s="59" t="s">
        <v>80</v>
      </c>
      <c r="AB133" s="59" t="s">
        <v>81</v>
      </c>
      <c r="AC133" s="59" t="s">
        <v>81</v>
      </c>
      <c r="AD133" s="59" t="s">
        <v>80</v>
      </c>
      <c r="AE133" s="59" t="s">
        <v>80</v>
      </c>
      <c r="AF133" s="59" t="s">
        <v>80</v>
      </c>
      <c r="AG133" s="59" t="s">
        <v>81</v>
      </c>
      <c r="AH133" s="59" t="s">
        <v>81</v>
      </c>
      <c r="AI133" s="59" t="s">
        <v>80</v>
      </c>
      <c r="AJ133" s="59" t="s">
        <v>80</v>
      </c>
      <c r="AK133" s="59" t="s">
        <v>80</v>
      </c>
      <c r="AL133" s="59" t="s">
        <v>81</v>
      </c>
      <c r="AM133" s="59" t="s">
        <v>81</v>
      </c>
      <c r="AN133" s="59" t="s">
        <v>80</v>
      </c>
      <c r="AO133" s="59" t="s">
        <v>80</v>
      </c>
      <c r="AP133" s="59" t="s">
        <v>80</v>
      </c>
      <c r="AQ133" s="59" t="s">
        <v>81</v>
      </c>
      <c r="AR133" s="59" t="s">
        <v>81</v>
      </c>
      <c r="AS133" s="60" t="s">
        <v>80</v>
      </c>
    </row>
    <row r="134" spans="1:45">
      <c r="A134" s="57" t="s">
        <v>1380</v>
      </c>
      <c r="B134" s="57" t="s">
        <v>297</v>
      </c>
      <c r="C134" s="57" t="s">
        <v>298</v>
      </c>
      <c r="D134" s="57" t="s">
        <v>75</v>
      </c>
      <c r="E134" s="57" t="s">
        <v>81</v>
      </c>
      <c r="F134" s="57" t="s">
        <v>76</v>
      </c>
      <c r="G134" s="57" t="s">
        <v>82</v>
      </c>
      <c r="H134" s="57" t="s">
        <v>79</v>
      </c>
      <c r="I134" s="57" t="s">
        <v>79</v>
      </c>
      <c r="J134" s="57" t="s">
        <v>82</v>
      </c>
      <c r="K134" s="57" t="s">
        <v>79</v>
      </c>
      <c r="L134" s="57" t="s">
        <v>79</v>
      </c>
      <c r="M134" s="57" t="s">
        <v>80</v>
      </c>
      <c r="N134" s="57" t="s">
        <v>80</v>
      </c>
      <c r="O134" s="57" t="s">
        <v>80</v>
      </c>
      <c r="P134" s="57" t="s">
        <v>80</v>
      </c>
      <c r="Q134" s="57" t="s">
        <v>80</v>
      </c>
      <c r="R134" s="57" t="s">
        <v>81</v>
      </c>
      <c r="S134" s="57" t="s">
        <v>81</v>
      </c>
      <c r="T134" s="57" t="s">
        <v>80</v>
      </c>
      <c r="U134" s="57" t="s">
        <v>80</v>
      </c>
      <c r="V134" s="57" t="s">
        <v>80</v>
      </c>
      <c r="W134" s="57" t="s">
        <v>81</v>
      </c>
      <c r="X134" s="57" t="s">
        <v>81</v>
      </c>
      <c r="Y134" s="57" t="s">
        <v>80</v>
      </c>
      <c r="Z134" s="57" t="s">
        <v>80</v>
      </c>
      <c r="AA134" s="57" t="s">
        <v>80</v>
      </c>
      <c r="AB134" s="57" t="s">
        <v>81</v>
      </c>
      <c r="AC134" s="57" t="s">
        <v>81</v>
      </c>
      <c r="AD134" s="57" t="s">
        <v>80</v>
      </c>
      <c r="AE134" s="57" t="s">
        <v>80</v>
      </c>
      <c r="AF134" s="57" t="s">
        <v>80</v>
      </c>
      <c r="AG134" s="57" t="s">
        <v>81</v>
      </c>
      <c r="AH134" s="57" t="s">
        <v>81</v>
      </c>
      <c r="AI134" s="57" t="s">
        <v>80</v>
      </c>
      <c r="AJ134" s="57" t="s">
        <v>80</v>
      </c>
      <c r="AK134" s="57" t="s">
        <v>80</v>
      </c>
      <c r="AL134" s="57" t="s">
        <v>81</v>
      </c>
      <c r="AM134" s="57" t="s">
        <v>81</v>
      </c>
      <c r="AN134" s="57" t="s">
        <v>80</v>
      </c>
      <c r="AO134" s="57" t="s">
        <v>80</v>
      </c>
      <c r="AP134" s="57" t="s">
        <v>80</v>
      </c>
      <c r="AQ134" s="57" t="s">
        <v>81</v>
      </c>
      <c r="AR134" s="57" t="s">
        <v>81</v>
      </c>
      <c r="AS134" s="58" t="s">
        <v>80</v>
      </c>
    </row>
    <row r="135" spans="1:45">
      <c r="A135" s="59" t="s">
        <v>1380</v>
      </c>
      <c r="B135" s="59" t="s">
        <v>487</v>
      </c>
      <c r="C135" s="59" t="s">
        <v>488</v>
      </c>
      <c r="D135" s="59" t="s">
        <v>75</v>
      </c>
      <c r="E135" s="59" t="s">
        <v>81</v>
      </c>
      <c r="F135" s="59" t="s">
        <v>76</v>
      </c>
      <c r="G135" s="59" t="s">
        <v>82</v>
      </c>
      <c r="H135" s="59" t="s">
        <v>79</v>
      </c>
      <c r="I135" s="59" t="s">
        <v>79</v>
      </c>
      <c r="J135" s="59" t="s">
        <v>82</v>
      </c>
      <c r="K135" s="59" t="s">
        <v>79</v>
      </c>
      <c r="L135" s="59" t="s">
        <v>79</v>
      </c>
      <c r="M135" s="59" t="s">
        <v>80</v>
      </c>
      <c r="N135" s="59" t="s">
        <v>80</v>
      </c>
      <c r="O135" s="59" t="s">
        <v>80</v>
      </c>
      <c r="P135" s="59" t="s">
        <v>80</v>
      </c>
      <c r="Q135" s="59" t="s">
        <v>80</v>
      </c>
      <c r="R135" s="59" t="s">
        <v>81</v>
      </c>
      <c r="S135" s="59" t="s">
        <v>81</v>
      </c>
      <c r="T135" s="59" t="s">
        <v>80</v>
      </c>
      <c r="U135" s="59" t="s">
        <v>80</v>
      </c>
      <c r="V135" s="59" t="s">
        <v>80</v>
      </c>
      <c r="W135" s="59" t="s">
        <v>81</v>
      </c>
      <c r="X135" s="59" t="s">
        <v>81</v>
      </c>
      <c r="Y135" s="59" t="s">
        <v>80</v>
      </c>
      <c r="Z135" s="59" t="s">
        <v>80</v>
      </c>
      <c r="AA135" s="59" t="s">
        <v>80</v>
      </c>
      <c r="AB135" s="59" t="s">
        <v>81</v>
      </c>
      <c r="AC135" s="59" t="s">
        <v>81</v>
      </c>
      <c r="AD135" s="59" t="s">
        <v>80</v>
      </c>
      <c r="AE135" s="59" t="s">
        <v>80</v>
      </c>
      <c r="AF135" s="59" t="s">
        <v>80</v>
      </c>
      <c r="AG135" s="59" t="s">
        <v>81</v>
      </c>
      <c r="AH135" s="59" t="s">
        <v>81</v>
      </c>
      <c r="AI135" s="59" t="s">
        <v>80</v>
      </c>
      <c r="AJ135" s="59" t="s">
        <v>80</v>
      </c>
      <c r="AK135" s="59" t="s">
        <v>80</v>
      </c>
      <c r="AL135" s="59" t="s">
        <v>81</v>
      </c>
      <c r="AM135" s="59" t="s">
        <v>81</v>
      </c>
      <c r="AN135" s="59" t="s">
        <v>80</v>
      </c>
      <c r="AO135" s="59" t="s">
        <v>80</v>
      </c>
      <c r="AP135" s="59" t="s">
        <v>80</v>
      </c>
      <c r="AQ135" s="59" t="s">
        <v>81</v>
      </c>
      <c r="AR135" s="59" t="s">
        <v>81</v>
      </c>
      <c r="AS135" s="60" t="s">
        <v>80</v>
      </c>
    </row>
    <row r="136" spans="1:45">
      <c r="A136" s="57" t="s">
        <v>1380</v>
      </c>
      <c r="B136" s="57" t="s">
        <v>299</v>
      </c>
      <c r="C136" s="57" t="s">
        <v>300</v>
      </c>
      <c r="D136" s="57" t="s">
        <v>75</v>
      </c>
      <c r="E136" s="57" t="s">
        <v>416</v>
      </c>
      <c r="F136" s="57" t="s">
        <v>76</v>
      </c>
      <c r="G136" s="57" t="s">
        <v>155</v>
      </c>
      <c r="H136" s="57" t="s">
        <v>210</v>
      </c>
      <c r="I136" s="57" t="s">
        <v>77</v>
      </c>
      <c r="J136" s="57" t="s">
        <v>309</v>
      </c>
      <c r="K136" s="57" t="s">
        <v>156</v>
      </c>
      <c r="L136" s="57" t="s">
        <v>77</v>
      </c>
      <c r="M136" s="57" t="s">
        <v>82</v>
      </c>
      <c r="N136" s="57" t="s">
        <v>79</v>
      </c>
      <c r="O136" s="57" t="s">
        <v>79</v>
      </c>
      <c r="P136" s="57" t="s">
        <v>80</v>
      </c>
      <c r="Q136" s="57" t="s">
        <v>80</v>
      </c>
      <c r="R136" s="57" t="s">
        <v>81</v>
      </c>
      <c r="S136" s="57" t="s">
        <v>81</v>
      </c>
      <c r="T136" s="57" t="s">
        <v>80</v>
      </c>
      <c r="U136" s="57" t="s">
        <v>80</v>
      </c>
      <c r="V136" s="57" t="s">
        <v>80</v>
      </c>
      <c r="W136" s="57" t="s">
        <v>81</v>
      </c>
      <c r="X136" s="57" t="s">
        <v>81</v>
      </c>
      <c r="Y136" s="57" t="s">
        <v>80</v>
      </c>
      <c r="Z136" s="57" t="s">
        <v>80</v>
      </c>
      <c r="AA136" s="57" t="s">
        <v>80</v>
      </c>
      <c r="AB136" s="57" t="s">
        <v>81</v>
      </c>
      <c r="AC136" s="57" t="s">
        <v>81</v>
      </c>
      <c r="AD136" s="57" t="s">
        <v>80</v>
      </c>
      <c r="AE136" s="57" t="s">
        <v>80</v>
      </c>
      <c r="AF136" s="57" t="s">
        <v>80</v>
      </c>
      <c r="AG136" s="57" t="s">
        <v>81</v>
      </c>
      <c r="AH136" s="57" t="s">
        <v>81</v>
      </c>
      <c r="AI136" s="57" t="s">
        <v>80</v>
      </c>
      <c r="AJ136" s="57" t="s">
        <v>80</v>
      </c>
      <c r="AK136" s="57" t="s">
        <v>80</v>
      </c>
      <c r="AL136" s="57" t="s">
        <v>81</v>
      </c>
      <c r="AM136" s="57" t="s">
        <v>81</v>
      </c>
      <c r="AN136" s="57" t="s">
        <v>80</v>
      </c>
      <c r="AO136" s="57" t="s">
        <v>80</v>
      </c>
      <c r="AP136" s="57" t="s">
        <v>80</v>
      </c>
      <c r="AQ136" s="57" t="s">
        <v>81</v>
      </c>
      <c r="AR136" s="57" t="s">
        <v>81</v>
      </c>
      <c r="AS136" s="58" t="s">
        <v>80</v>
      </c>
    </row>
    <row r="137" spans="1:45">
      <c r="A137" s="59" t="s">
        <v>1380</v>
      </c>
      <c r="B137" s="59" t="s">
        <v>489</v>
      </c>
      <c r="C137" s="59" t="s">
        <v>490</v>
      </c>
      <c r="D137" s="59" t="s">
        <v>75</v>
      </c>
      <c r="E137" s="59" t="s">
        <v>81</v>
      </c>
      <c r="F137" s="59" t="s">
        <v>76</v>
      </c>
      <c r="G137" s="59" t="s">
        <v>82</v>
      </c>
      <c r="H137" s="59" t="s">
        <v>79</v>
      </c>
      <c r="I137" s="59" t="s">
        <v>79</v>
      </c>
      <c r="J137" s="59" t="s">
        <v>82</v>
      </c>
      <c r="K137" s="59" t="s">
        <v>79</v>
      </c>
      <c r="L137" s="59" t="s">
        <v>79</v>
      </c>
      <c r="M137" s="59" t="s">
        <v>80</v>
      </c>
      <c r="N137" s="59" t="s">
        <v>80</v>
      </c>
      <c r="O137" s="59" t="s">
        <v>80</v>
      </c>
      <c r="P137" s="59" t="s">
        <v>80</v>
      </c>
      <c r="Q137" s="59" t="s">
        <v>80</v>
      </c>
      <c r="R137" s="59" t="s">
        <v>81</v>
      </c>
      <c r="S137" s="59" t="s">
        <v>81</v>
      </c>
      <c r="T137" s="59" t="s">
        <v>80</v>
      </c>
      <c r="U137" s="59" t="s">
        <v>80</v>
      </c>
      <c r="V137" s="59" t="s">
        <v>80</v>
      </c>
      <c r="W137" s="59" t="s">
        <v>81</v>
      </c>
      <c r="X137" s="59" t="s">
        <v>81</v>
      </c>
      <c r="Y137" s="59" t="s">
        <v>80</v>
      </c>
      <c r="Z137" s="59" t="s">
        <v>80</v>
      </c>
      <c r="AA137" s="59" t="s">
        <v>80</v>
      </c>
      <c r="AB137" s="59" t="s">
        <v>81</v>
      </c>
      <c r="AC137" s="59" t="s">
        <v>81</v>
      </c>
      <c r="AD137" s="59" t="s">
        <v>80</v>
      </c>
      <c r="AE137" s="59" t="s">
        <v>80</v>
      </c>
      <c r="AF137" s="59" t="s">
        <v>80</v>
      </c>
      <c r="AG137" s="59" t="s">
        <v>81</v>
      </c>
      <c r="AH137" s="59" t="s">
        <v>81</v>
      </c>
      <c r="AI137" s="59" t="s">
        <v>80</v>
      </c>
      <c r="AJ137" s="59" t="s">
        <v>80</v>
      </c>
      <c r="AK137" s="59" t="s">
        <v>80</v>
      </c>
      <c r="AL137" s="59" t="s">
        <v>81</v>
      </c>
      <c r="AM137" s="59" t="s">
        <v>81</v>
      </c>
      <c r="AN137" s="59" t="s">
        <v>80</v>
      </c>
      <c r="AO137" s="59" t="s">
        <v>80</v>
      </c>
      <c r="AP137" s="59" t="s">
        <v>80</v>
      </c>
      <c r="AQ137" s="59" t="s">
        <v>81</v>
      </c>
      <c r="AR137" s="59" t="s">
        <v>81</v>
      </c>
      <c r="AS137" s="60" t="s">
        <v>80</v>
      </c>
    </row>
    <row r="138" spans="1:45">
      <c r="A138" s="57" t="s">
        <v>1380</v>
      </c>
      <c r="B138" s="57" t="s">
        <v>301</v>
      </c>
      <c r="C138" s="57" t="s">
        <v>302</v>
      </c>
      <c r="D138" s="57" t="s">
        <v>75</v>
      </c>
      <c r="E138" s="57" t="s">
        <v>81</v>
      </c>
      <c r="F138" s="57" t="s">
        <v>76</v>
      </c>
      <c r="G138" s="57" t="s">
        <v>90</v>
      </c>
      <c r="H138" s="57" t="s">
        <v>103</v>
      </c>
      <c r="I138" s="57" t="s">
        <v>116</v>
      </c>
      <c r="J138" s="57" t="s">
        <v>90</v>
      </c>
      <c r="K138" s="57" t="s">
        <v>103</v>
      </c>
      <c r="L138" s="57" t="s">
        <v>116</v>
      </c>
      <c r="M138" s="57" t="s">
        <v>80</v>
      </c>
      <c r="N138" s="57" t="s">
        <v>80</v>
      </c>
      <c r="O138" s="57" t="s">
        <v>80</v>
      </c>
      <c r="P138" s="57" t="s">
        <v>80</v>
      </c>
      <c r="Q138" s="57" t="s">
        <v>80</v>
      </c>
      <c r="R138" s="57" t="s">
        <v>81</v>
      </c>
      <c r="S138" s="57" t="s">
        <v>81</v>
      </c>
      <c r="T138" s="57" t="s">
        <v>80</v>
      </c>
      <c r="U138" s="57" t="s">
        <v>80</v>
      </c>
      <c r="V138" s="57" t="s">
        <v>80</v>
      </c>
      <c r="W138" s="57" t="s">
        <v>81</v>
      </c>
      <c r="X138" s="57" t="s">
        <v>81</v>
      </c>
      <c r="Y138" s="57" t="s">
        <v>80</v>
      </c>
      <c r="Z138" s="57" t="s">
        <v>80</v>
      </c>
      <c r="AA138" s="57" t="s">
        <v>80</v>
      </c>
      <c r="AB138" s="57" t="s">
        <v>81</v>
      </c>
      <c r="AC138" s="57" t="s">
        <v>81</v>
      </c>
      <c r="AD138" s="57" t="s">
        <v>80</v>
      </c>
      <c r="AE138" s="57" t="s">
        <v>80</v>
      </c>
      <c r="AF138" s="57" t="s">
        <v>80</v>
      </c>
      <c r="AG138" s="57" t="s">
        <v>81</v>
      </c>
      <c r="AH138" s="57" t="s">
        <v>81</v>
      </c>
      <c r="AI138" s="57" t="s">
        <v>80</v>
      </c>
      <c r="AJ138" s="57" t="s">
        <v>80</v>
      </c>
      <c r="AK138" s="57" t="s">
        <v>80</v>
      </c>
      <c r="AL138" s="57" t="s">
        <v>81</v>
      </c>
      <c r="AM138" s="57" t="s">
        <v>81</v>
      </c>
      <c r="AN138" s="57" t="s">
        <v>80</v>
      </c>
      <c r="AO138" s="57" t="s">
        <v>80</v>
      </c>
      <c r="AP138" s="57" t="s">
        <v>80</v>
      </c>
      <c r="AQ138" s="57" t="s">
        <v>81</v>
      </c>
      <c r="AR138" s="57" t="s">
        <v>81</v>
      </c>
      <c r="AS138" s="58" t="s">
        <v>80</v>
      </c>
    </row>
    <row r="139" spans="1:45">
      <c r="A139" s="59" t="s">
        <v>1380</v>
      </c>
      <c r="B139" s="59" t="s">
        <v>304</v>
      </c>
      <c r="C139" s="59" t="s">
        <v>305</v>
      </c>
      <c r="D139" s="59" t="s">
        <v>75</v>
      </c>
      <c r="E139" s="59" t="s">
        <v>173</v>
      </c>
      <c r="F139" s="59" t="s">
        <v>76</v>
      </c>
      <c r="G139" s="59" t="s">
        <v>105</v>
      </c>
      <c r="H139" s="59" t="s">
        <v>187</v>
      </c>
      <c r="I139" s="59" t="s">
        <v>126</v>
      </c>
      <c r="J139" s="59" t="s">
        <v>105</v>
      </c>
      <c r="K139" s="59" t="s">
        <v>187</v>
      </c>
      <c r="L139" s="59" t="s">
        <v>126</v>
      </c>
      <c r="M139" s="59" t="s">
        <v>80</v>
      </c>
      <c r="N139" s="59" t="s">
        <v>80</v>
      </c>
      <c r="O139" s="59" t="s">
        <v>80</v>
      </c>
      <c r="P139" s="59" t="s">
        <v>80</v>
      </c>
      <c r="Q139" s="59" t="s">
        <v>80</v>
      </c>
      <c r="R139" s="59" t="s">
        <v>81</v>
      </c>
      <c r="S139" s="59" t="s">
        <v>81</v>
      </c>
      <c r="T139" s="59" t="s">
        <v>80</v>
      </c>
      <c r="U139" s="59" t="s">
        <v>80</v>
      </c>
      <c r="V139" s="59" t="s">
        <v>80</v>
      </c>
      <c r="W139" s="59" t="s">
        <v>81</v>
      </c>
      <c r="X139" s="59" t="s">
        <v>81</v>
      </c>
      <c r="Y139" s="59" t="s">
        <v>80</v>
      </c>
      <c r="Z139" s="59" t="s">
        <v>80</v>
      </c>
      <c r="AA139" s="59" t="s">
        <v>80</v>
      </c>
      <c r="AB139" s="59" t="s">
        <v>81</v>
      </c>
      <c r="AC139" s="59" t="s">
        <v>81</v>
      </c>
      <c r="AD139" s="59" t="s">
        <v>80</v>
      </c>
      <c r="AE139" s="59" t="s">
        <v>80</v>
      </c>
      <c r="AF139" s="59" t="s">
        <v>80</v>
      </c>
      <c r="AG139" s="59" t="s">
        <v>81</v>
      </c>
      <c r="AH139" s="59" t="s">
        <v>81</v>
      </c>
      <c r="AI139" s="59" t="s">
        <v>80</v>
      </c>
      <c r="AJ139" s="59" t="s">
        <v>80</v>
      </c>
      <c r="AK139" s="59" t="s">
        <v>80</v>
      </c>
      <c r="AL139" s="59" t="s">
        <v>81</v>
      </c>
      <c r="AM139" s="59" t="s">
        <v>81</v>
      </c>
      <c r="AN139" s="59" t="s">
        <v>80</v>
      </c>
      <c r="AO139" s="59" t="s">
        <v>80</v>
      </c>
      <c r="AP139" s="59" t="s">
        <v>80</v>
      </c>
      <c r="AQ139" s="59" t="s">
        <v>81</v>
      </c>
      <c r="AR139" s="59" t="s">
        <v>81</v>
      </c>
      <c r="AS139" s="60" t="s">
        <v>80</v>
      </c>
    </row>
    <row r="140" spans="1:45">
      <c r="A140" s="57" t="s">
        <v>1380</v>
      </c>
      <c r="B140" s="57" t="s">
        <v>306</v>
      </c>
      <c r="C140" s="57" t="s">
        <v>307</v>
      </c>
      <c r="D140" s="57" t="s">
        <v>75</v>
      </c>
      <c r="E140" s="57" t="s">
        <v>173</v>
      </c>
      <c r="F140" s="57" t="s">
        <v>76</v>
      </c>
      <c r="G140" s="57" t="s">
        <v>483</v>
      </c>
      <c r="H140" s="57" t="s">
        <v>478</v>
      </c>
      <c r="I140" s="57" t="s">
        <v>85</v>
      </c>
      <c r="J140" s="57" t="s">
        <v>103</v>
      </c>
      <c r="K140" s="57" t="s">
        <v>1442</v>
      </c>
      <c r="L140" s="57" t="s">
        <v>85</v>
      </c>
      <c r="M140" s="57" t="s">
        <v>82</v>
      </c>
      <c r="N140" s="57" t="s">
        <v>75</v>
      </c>
      <c r="O140" s="57" t="s">
        <v>75</v>
      </c>
      <c r="P140" s="57" t="s">
        <v>80</v>
      </c>
      <c r="Q140" s="57" t="s">
        <v>80</v>
      </c>
      <c r="R140" s="57" t="s">
        <v>81</v>
      </c>
      <c r="S140" s="57" t="s">
        <v>81</v>
      </c>
      <c r="T140" s="57" t="s">
        <v>80</v>
      </c>
      <c r="U140" s="57" t="s">
        <v>80</v>
      </c>
      <c r="V140" s="57" t="s">
        <v>80</v>
      </c>
      <c r="W140" s="57" t="s">
        <v>81</v>
      </c>
      <c r="X140" s="57" t="s">
        <v>81</v>
      </c>
      <c r="Y140" s="57" t="s">
        <v>80</v>
      </c>
      <c r="Z140" s="57" t="s">
        <v>80</v>
      </c>
      <c r="AA140" s="57" t="s">
        <v>80</v>
      </c>
      <c r="AB140" s="57" t="s">
        <v>81</v>
      </c>
      <c r="AC140" s="57" t="s">
        <v>81</v>
      </c>
      <c r="AD140" s="57" t="s">
        <v>80</v>
      </c>
      <c r="AE140" s="57" t="s">
        <v>80</v>
      </c>
      <c r="AF140" s="57" t="s">
        <v>80</v>
      </c>
      <c r="AG140" s="57" t="s">
        <v>81</v>
      </c>
      <c r="AH140" s="57" t="s">
        <v>81</v>
      </c>
      <c r="AI140" s="57" t="s">
        <v>80</v>
      </c>
      <c r="AJ140" s="57" t="s">
        <v>80</v>
      </c>
      <c r="AK140" s="57" t="s">
        <v>80</v>
      </c>
      <c r="AL140" s="57" t="s">
        <v>81</v>
      </c>
      <c r="AM140" s="57" t="s">
        <v>81</v>
      </c>
      <c r="AN140" s="57" t="s">
        <v>80</v>
      </c>
      <c r="AO140" s="57" t="s">
        <v>80</v>
      </c>
      <c r="AP140" s="57" t="s">
        <v>80</v>
      </c>
      <c r="AQ140" s="57" t="s">
        <v>81</v>
      </c>
      <c r="AR140" s="57" t="s">
        <v>81</v>
      </c>
      <c r="AS140" s="58" t="s">
        <v>80</v>
      </c>
    </row>
    <row r="141" spans="1:45">
      <c r="A141" s="59" t="s">
        <v>1380</v>
      </c>
      <c r="B141" s="59" t="s">
        <v>310</v>
      </c>
      <c r="C141" s="59" t="s">
        <v>311</v>
      </c>
      <c r="D141" s="59" t="s">
        <v>75</v>
      </c>
      <c r="E141" s="59" t="s">
        <v>319</v>
      </c>
      <c r="F141" s="59" t="s">
        <v>76</v>
      </c>
      <c r="G141" s="59" t="s">
        <v>423</v>
      </c>
      <c r="H141" s="59" t="s">
        <v>1443</v>
      </c>
      <c r="I141" s="59" t="s">
        <v>77</v>
      </c>
      <c r="J141" s="59" t="s">
        <v>423</v>
      </c>
      <c r="K141" s="59" t="s">
        <v>1443</v>
      </c>
      <c r="L141" s="59" t="s">
        <v>77</v>
      </c>
      <c r="M141" s="59" t="s">
        <v>80</v>
      </c>
      <c r="N141" s="59" t="s">
        <v>80</v>
      </c>
      <c r="O141" s="59" t="s">
        <v>80</v>
      </c>
      <c r="P141" s="59" t="s">
        <v>80</v>
      </c>
      <c r="Q141" s="59" t="s">
        <v>80</v>
      </c>
      <c r="R141" s="59" t="s">
        <v>81</v>
      </c>
      <c r="S141" s="59" t="s">
        <v>81</v>
      </c>
      <c r="T141" s="59" t="s">
        <v>80</v>
      </c>
      <c r="U141" s="59" t="s">
        <v>80</v>
      </c>
      <c r="V141" s="59" t="s">
        <v>80</v>
      </c>
      <c r="W141" s="59" t="s">
        <v>81</v>
      </c>
      <c r="X141" s="59" t="s">
        <v>81</v>
      </c>
      <c r="Y141" s="59" t="s">
        <v>80</v>
      </c>
      <c r="Z141" s="59" t="s">
        <v>80</v>
      </c>
      <c r="AA141" s="59" t="s">
        <v>80</v>
      </c>
      <c r="AB141" s="59" t="s">
        <v>81</v>
      </c>
      <c r="AC141" s="59" t="s">
        <v>81</v>
      </c>
      <c r="AD141" s="59" t="s">
        <v>80</v>
      </c>
      <c r="AE141" s="59" t="s">
        <v>80</v>
      </c>
      <c r="AF141" s="59" t="s">
        <v>80</v>
      </c>
      <c r="AG141" s="59" t="s">
        <v>81</v>
      </c>
      <c r="AH141" s="59" t="s">
        <v>81</v>
      </c>
      <c r="AI141" s="59" t="s">
        <v>80</v>
      </c>
      <c r="AJ141" s="59" t="s">
        <v>80</v>
      </c>
      <c r="AK141" s="59" t="s">
        <v>80</v>
      </c>
      <c r="AL141" s="59" t="s">
        <v>81</v>
      </c>
      <c r="AM141" s="59" t="s">
        <v>81</v>
      </c>
      <c r="AN141" s="59" t="s">
        <v>80</v>
      </c>
      <c r="AO141" s="59" t="s">
        <v>80</v>
      </c>
      <c r="AP141" s="59" t="s">
        <v>80</v>
      </c>
      <c r="AQ141" s="59" t="s">
        <v>81</v>
      </c>
      <c r="AR141" s="59" t="s">
        <v>81</v>
      </c>
      <c r="AS141" s="60" t="s">
        <v>80</v>
      </c>
    </row>
    <row r="142" spans="1:45">
      <c r="A142" s="57" t="s">
        <v>1380</v>
      </c>
      <c r="B142" s="57" t="s">
        <v>313</v>
      </c>
      <c r="C142" s="57" t="s">
        <v>314</v>
      </c>
      <c r="D142" s="57" t="s">
        <v>75</v>
      </c>
      <c r="E142" s="57" t="s">
        <v>290</v>
      </c>
      <c r="F142" s="57" t="s">
        <v>76</v>
      </c>
      <c r="G142" s="57" t="s">
        <v>182</v>
      </c>
      <c r="H142" s="57" t="s">
        <v>140</v>
      </c>
      <c r="I142" s="57" t="s">
        <v>79</v>
      </c>
      <c r="J142" s="57" t="s">
        <v>182</v>
      </c>
      <c r="K142" s="57" t="s">
        <v>140</v>
      </c>
      <c r="L142" s="57" t="s">
        <v>79</v>
      </c>
      <c r="M142" s="57" t="s">
        <v>80</v>
      </c>
      <c r="N142" s="57" t="s">
        <v>80</v>
      </c>
      <c r="O142" s="57" t="s">
        <v>80</v>
      </c>
      <c r="P142" s="57" t="s">
        <v>80</v>
      </c>
      <c r="Q142" s="57" t="s">
        <v>80</v>
      </c>
      <c r="R142" s="57" t="s">
        <v>81</v>
      </c>
      <c r="S142" s="57" t="s">
        <v>81</v>
      </c>
      <c r="T142" s="57" t="s">
        <v>80</v>
      </c>
      <c r="U142" s="57" t="s">
        <v>80</v>
      </c>
      <c r="V142" s="57" t="s">
        <v>80</v>
      </c>
      <c r="W142" s="57" t="s">
        <v>81</v>
      </c>
      <c r="X142" s="57" t="s">
        <v>81</v>
      </c>
      <c r="Y142" s="57" t="s">
        <v>80</v>
      </c>
      <c r="Z142" s="57" t="s">
        <v>80</v>
      </c>
      <c r="AA142" s="57" t="s">
        <v>80</v>
      </c>
      <c r="AB142" s="57" t="s">
        <v>81</v>
      </c>
      <c r="AC142" s="57" t="s">
        <v>81</v>
      </c>
      <c r="AD142" s="57" t="s">
        <v>80</v>
      </c>
      <c r="AE142" s="57" t="s">
        <v>80</v>
      </c>
      <c r="AF142" s="57" t="s">
        <v>80</v>
      </c>
      <c r="AG142" s="57" t="s">
        <v>81</v>
      </c>
      <c r="AH142" s="57" t="s">
        <v>81</v>
      </c>
      <c r="AI142" s="57" t="s">
        <v>80</v>
      </c>
      <c r="AJ142" s="57" t="s">
        <v>80</v>
      </c>
      <c r="AK142" s="57" t="s">
        <v>80</v>
      </c>
      <c r="AL142" s="57" t="s">
        <v>81</v>
      </c>
      <c r="AM142" s="57" t="s">
        <v>81</v>
      </c>
      <c r="AN142" s="57" t="s">
        <v>80</v>
      </c>
      <c r="AO142" s="57" t="s">
        <v>80</v>
      </c>
      <c r="AP142" s="57" t="s">
        <v>80</v>
      </c>
      <c r="AQ142" s="57" t="s">
        <v>81</v>
      </c>
      <c r="AR142" s="57" t="s">
        <v>81</v>
      </c>
      <c r="AS142" s="58" t="s">
        <v>80</v>
      </c>
    </row>
    <row r="143" spans="1:45">
      <c r="A143" s="59" t="s">
        <v>1380</v>
      </c>
      <c r="B143" s="59" t="s">
        <v>315</v>
      </c>
      <c r="C143" s="59" t="s">
        <v>316</v>
      </c>
      <c r="D143" s="59" t="s">
        <v>75</v>
      </c>
      <c r="E143" s="59" t="s">
        <v>221</v>
      </c>
      <c r="F143" s="59" t="s">
        <v>76</v>
      </c>
      <c r="G143" s="59" t="s">
        <v>93</v>
      </c>
      <c r="H143" s="59" t="s">
        <v>140</v>
      </c>
      <c r="I143" s="59" t="s">
        <v>203</v>
      </c>
      <c r="J143" s="59" t="s">
        <v>93</v>
      </c>
      <c r="K143" s="59" t="s">
        <v>140</v>
      </c>
      <c r="L143" s="59" t="s">
        <v>203</v>
      </c>
      <c r="M143" s="59" t="s">
        <v>80</v>
      </c>
      <c r="N143" s="59" t="s">
        <v>80</v>
      </c>
      <c r="O143" s="59" t="s">
        <v>80</v>
      </c>
      <c r="P143" s="59" t="s">
        <v>80</v>
      </c>
      <c r="Q143" s="59" t="s">
        <v>80</v>
      </c>
      <c r="R143" s="59" t="s">
        <v>81</v>
      </c>
      <c r="S143" s="59" t="s">
        <v>81</v>
      </c>
      <c r="T143" s="59" t="s">
        <v>80</v>
      </c>
      <c r="U143" s="59" t="s">
        <v>80</v>
      </c>
      <c r="V143" s="59" t="s">
        <v>80</v>
      </c>
      <c r="W143" s="59" t="s">
        <v>81</v>
      </c>
      <c r="X143" s="59" t="s">
        <v>81</v>
      </c>
      <c r="Y143" s="59" t="s">
        <v>80</v>
      </c>
      <c r="Z143" s="59" t="s">
        <v>80</v>
      </c>
      <c r="AA143" s="59" t="s">
        <v>80</v>
      </c>
      <c r="AB143" s="59" t="s">
        <v>81</v>
      </c>
      <c r="AC143" s="59" t="s">
        <v>81</v>
      </c>
      <c r="AD143" s="59" t="s">
        <v>80</v>
      </c>
      <c r="AE143" s="59" t="s">
        <v>80</v>
      </c>
      <c r="AF143" s="59" t="s">
        <v>80</v>
      </c>
      <c r="AG143" s="59" t="s">
        <v>81</v>
      </c>
      <c r="AH143" s="59" t="s">
        <v>81</v>
      </c>
      <c r="AI143" s="59" t="s">
        <v>80</v>
      </c>
      <c r="AJ143" s="59" t="s">
        <v>80</v>
      </c>
      <c r="AK143" s="59" t="s">
        <v>80</v>
      </c>
      <c r="AL143" s="59" t="s">
        <v>81</v>
      </c>
      <c r="AM143" s="59" t="s">
        <v>81</v>
      </c>
      <c r="AN143" s="59" t="s">
        <v>80</v>
      </c>
      <c r="AO143" s="59" t="s">
        <v>80</v>
      </c>
      <c r="AP143" s="59" t="s">
        <v>80</v>
      </c>
      <c r="AQ143" s="59" t="s">
        <v>81</v>
      </c>
      <c r="AR143" s="59" t="s">
        <v>81</v>
      </c>
      <c r="AS143" s="60" t="s">
        <v>80</v>
      </c>
    </row>
    <row r="144" spans="1:45">
      <c r="A144" s="57" t="s">
        <v>1380</v>
      </c>
      <c r="B144" s="57" t="s">
        <v>317</v>
      </c>
      <c r="C144" s="57" t="s">
        <v>318</v>
      </c>
      <c r="D144" s="57" t="s">
        <v>75</v>
      </c>
      <c r="E144" s="57" t="s">
        <v>290</v>
      </c>
      <c r="F144" s="57" t="s">
        <v>76</v>
      </c>
      <c r="G144" s="57" t="s">
        <v>82</v>
      </c>
      <c r="H144" s="57" t="s">
        <v>79</v>
      </c>
      <c r="I144" s="57" t="s">
        <v>79</v>
      </c>
      <c r="J144" s="57" t="s">
        <v>82</v>
      </c>
      <c r="K144" s="57" t="s">
        <v>79</v>
      </c>
      <c r="L144" s="57" t="s">
        <v>79</v>
      </c>
      <c r="M144" s="57" t="s">
        <v>80</v>
      </c>
      <c r="N144" s="57" t="s">
        <v>80</v>
      </c>
      <c r="O144" s="57" t="s">
        <v>80</v>
      </c>
      <c r="P144" s="57" t="s">
        <v>80</v>
      </c>
      <c r="Q144" s="57" t="s">
        <v>80</v>
      </c>
      <c r="R144" s="57" t="s">
        <v>81</v>
      </c>
      <c r="S144" s="57" t="s">
        <v>81</v>
      </c>
      <c r="T144" s="57" t="s">
        <v>80</v>
      </c>
      <c r="U144" s="57" t="s">
        <v>80</v>
      </c>
      <c r="V144" s="57" t="s">
        <v>80</v>
      </c>
      <c r="W144" s="57" t="s">
        <v>81</v>
      </c>
      <c r="X144" s="57" t="s">
        <v>81</v>
      </c>
      <c r="Y144" s="57" t="s">
        <v>80</v>
      </c>
      <c r="Z144" s="57" t="s">
        <v>80</v>
      </c>
      <c r="AA144" s="57" t="s">
        <v>80</v>
      </c>
      <c r="AB144" s="57" t="s">
        <v>81</v>
      </c>
      <c r="AC144" s="57" t="s">
        <v>81</v>
      </c>
      <c r="AD144" s="57" t="s">
        <v>80</v>
      </c>
      <c r="AE144" s="57" t="s">
        <v>80</v>
      </c>
      <c r="AF144" s="57" t="s">
        <v>80</v>
      </c>
      <c r="AG144" s="57" t="s">
        <v>81</v>
      </c>
      <c r="AH144" s="57" t="s">
        <v>81</v>
      </c>
      <c r="AI144" s="57" t="s">
        <v>80</v>
      </c>
      <c r="AJ144" s="57" t="s">
        <v>80</v>
      </c>
      <c r="AK144" s="57" t="s">
        <v>80</v>
      </c>
      <c r="AL144" s="57" t="s">
        <v>81</v>
      </c>
      <c r="AM144" s="57" t="s">
        <v>81</v>
      </c>
      <c r="AN144" s="57" t="s">
        <v>80</v>
      </c>
      <c r="AO144" s="57" t="s">
        <v>80</v>
      </c>
      <c r="AP144" s="57" t="s">
        <v>80</v>
      </c>
      <c r="AQ144" s="57" t="s">
        <v>81</v>
      </c>
      <c r="AR144" s="57" t="s">
        <v>81</v>
      </c>
      <c r="AS144" s="58" t="s">
        <v>80</v>
      </c>
    </row>
    <row r="145" spans="1:45">
      <c r="A145" s="59" t="s">
        <v>1380</v>
      </c>
      <c r="B145" s="59" t="s">
        <v>38</v>
      </c>
      <c r="C145" s="59" t="s">
        <v>37</v>
      </c>
      <c r="D145" s="59" t="s">
        <v>103</v>
      </c>
      <c r="E145" s="59" t="s">
        <v>125</v>
      </c>
      <c r="F145" s="59" t="s">
        <v>76</v>
      </c>
      <c r="G145" s="59" t="s">
        <v>402</v>
      </c>
      <c r="H145" s="59" t="s">
        <v>1444</v>
      </c>
      <c r="I145" s="59" t="s">
        <v>166</v>
      </c>
      <c r="J145" s="59" t="s">
        <v>483</v>
      </c>
      <c r="K145" s="59" t="s">
        <v>1445</v>
      </c>
      <c r="L145" s="59" t="s">
        <v>155</v>
      </c>
      <c r="M145" s="59" t="s">
        <v>82</v>
      </c>
      <c r="N145" s="59" t="s">
        <v>103</v>
      </c>
      <c r="O145" s="59" t="s">
        <v>103</v>
      </c>
      <c r="P145" s="59" t="s">
        <v>80</v>
      </c>
      <c r="Q145" s="59" t="s">
        <v>80</v>
      </c>
      <c r="R145" s="59" t="s">
        <v>81</v>
      </c>
      <c r="S145" s="59" t="s">
        <v>81</v>
      </c>
      <c r="T145" s="59" t="s">
        <v>80</v>
      </c>
      <c r="U145" s="59" t="s">
        <v>80</v>
      </c>
      <c r="V145" s="59" t="s">
        <v>80</v>
      </c>
      <c r="W145" s="59" t="s">
        <v>81</v>
      </c>
      <c r="X145" s="59" t="s">
        <v>81</v>
      </c>
      <c r="Y145" s="59" t="s">
        <v>80</v>
      </c>
      <c r="Z145" s="59" t="s">
        <v>80</v>
      </c>
      <c r="AA145" s="59" t="s">
        <v>80</v>
      </c>
      <c r="AB145" s="59" t="s">
        <v>81</v>
      </c>
      <c r="AC145" s="59" t="s">
        <v>81</v>
      </c>
      <c r="AD145" s="59" t="s">
        <v>80</v>
      </c>
      <c r="AE145" s="59" t="s">
        <v>80</v>
      </c>
      <c r="AF145" s="59" t="s">
        <v>80</v>
      </c>
      <c r="AG145" s="59" t="s">
        <v>81</v>
      </c>
      <c r="AH145" s="59" t="s">
        <v>81</v>
      </c>
      <c r="AI145" s="59" t="s">
        <v>80</v>
      </c>
      <c r="AJ145" s="59" t="s">
        <v>80</v>
      </c>
      <c r="AK145" s="59" t="s">
        <v>80</v>
      </c>
      <c r="AL145" s="59" t="s">
        <v>81</v>
      </c>
      <c r="AM145" s="59" t="s">
        <v>81</v>
      </c>
      <c r="AN145" s="59" t="s">
        <v>80</v>
      </c>
      <c r="AO145" s="59" t="s">
        <v>80</v>
      </c>
      <c r="AP145" s="59" t="s">
        <v>80</v>
      </c>
      <c r="AQ145" s="59" t="s">
        <v>81</v>
      </c>
      <c r="AR145" s="59" t="s">
        <v>81</v>
      </c>
      <c r="AS145" s="60" t="s">
        <v>80</v>
      </c>
    </row>
    <row r="146" spans="1:45">
      <c r="A146" s="57" t="s">
        <v>1380</v>
      </c>
      <c r="B146" s="57" t="s">
        <v>320</v>
      </c>
      <c r="C146" s="57" t="s">
        <v>321</v>
      </c>
      <c r="D146" s="57" t="s">
        <v>75</v>
      </c>
      <c r="E146" s="57" t="s">
        <v>81</v>
      </c>
      <c r="F146" s="57" t="s">
        <v>76</v>
      </c>
      <c r="G146" s="57" t="s">
        <v>93</v>
      </c>
      <c r="H146" s="57" t="s">
        <v>103</v>
      </c>
      <c r="I146" s="57" t="s">
        <v>79</v>
      </c>
      <c r="J146" s="57" t="s">
        <v>93</v>
      </c>
      <c r="K146" s="57" t="s">
        <v>103</v>
      </c>
      <c r="L146" s="57" t="s">
        <v>79</v>
      </c>
      <c r="M146" s="57" t="s">
        <v>80</v>
      </c>
      <c r="N146" s="57" t="s">
        <v>80</v>
      </c>
      <c r="O146" s="57" t="s">
        <v>80</v>
      </c>
      <c r="P146" s="57" t="s">
        <v>80</v>
      </c>
      <c r="Q146" s="57" t="s">
        <v>80</v>
      </c>
      <c r="R146" s="57" t="s">
        <v>81</v>
      </c>
      <c r="S146" s="57" t="s">
        <v>81</v>
      </c>
      <c r="T146" s="57" t="s">
        <v>80</v>
      </c>
      <c r="U146" s="57" t="s">
        <v>80</v>
      </c>
      <c r="V146" s="57" t="s">
        <v>80</v>
      </c>
      <c r="W146" s="57" t="s">
        <v>81</v>
      </c>
      <c r="X146" s="57" t="s">
        <v>81</v>
      </c>
      <c r="Y146" s="57" t="s">
        <v>80</v>
      </c>
      <c r="Z146" s="57" t="s">
        <v>80</v>
      </c>
      <c r="AA146" s="57" t="s">
        <v>80</v>
      </c>
      <c r="AB146" s="57" t="s">
        <v>81</v>
      </c>
      <c r="AC146" s="57" t="s">
        <v>81</v>
      </c>
      <c r="AD146" s="57" t="s">
        <v>80</v>
      </c>
      <c r="AE146" s="57" t="s">
        <v>80</v>
      </c>
      <c r="AF146" s="57" t="s">
        <v>80</v>
      </c>
      <c r="AG146" s="57" t="s">
        <v>81</v>
      </c>
      <c r="AH146" s="57" t="s">
        <v>81</v>
      </c>
      <c r="AI146" s="57" t="s">
        <v>80</v>
      </c>
      <c r="AJ146" s="57" t="s">
        <v>80</v>
      </c>
      <c r="AK146" s="57" t="s">
        <v>80</v>
      </c>
      <c r="AL146" s="57" t="s">
        <v>81</v>
      </c>
      <c r="AM146" s="57" t="s">
        <v>81</v>
      </c>
      <c r="AN146" s="57" t="s">
        <v>80</v>
      </c>
      <c r="AO146" s="57" t="s">
        <v>80</v>
      </c>
      <c r="AP146" s="57" t="s">
        <v>80</v>
      </c>
      <c r="AQ146" s="57" t="s">
        <v>81</v>
      </c>
      <c r="AR146" s="57" t="s">
        <v>81</v>
      </c>
      <c r="AS146" s="58" t="s">
        <v>80</v>
      </c>
    </row>
    <row r="147" spans="1:45">
      <c r="A147" s="59" t="s">
        <v>1380</v>
      </c>
      <c r="B147" s="59" t="s">
        <v>322</v>
      </c>
      <c r="C147" s="59" t="s">
        <v>323</v>
      </c>
      <c r="D147" s="59" t="s">
        <v>75</v>
      </c>
      <c r="E147" s="59" t="s">
        <v>114</v>
      </c>
      <c r="F147" s="59" t="s">
        <v>76</v>
      </c>
      <c r="G147" s="59" t="s">
        <v>86</v>
      </c>
      <c r="H147" s="59" t="s">
        <v>87</v>
      </c>
      <c r="I147" s="59" t="s">
        <v>88</v>
      </c>
      <c r="J147" s="59" t="s">
        <v>86</v>
      </c>
      <c r="K147" s="59" t="s">
        <v>87</v>
      </c>
      <c r="L147" s="59" t="s">
        <v>88</v>
      </c>
      <c r="M147" s="59" t="s">
        <v>80</v>
      </c>
      <c r="N147" s="59" t="s">
        <v>80</v>
      </c>
      <c r="O147" s="59" t="s">
        <v>80</v>
      </c>
      <c r="P147" s="59" t="s">
        <v>80</v>
      </c>
      <c r="Q147" s="59" t="s">
        <v>80</v>
      </c>
      <c r="R147" s="59" t="s">
        <v>81</v>
      </c>
      <c r="S147" s="59" t="s">
        <v>81</v>
      </c>
      <c r="T147" s="59" t="s">
        <v>80</v>
      </c>
      <c r="U147" s="59" t="s">
        <v>80</v>
      </c>
      <c r="V147" s="59" t="s">
        <v>80</v>
      </c>
      <c r="W147" s="59" t="s">
        <v>81</v>
      </c>
      <c r="X147" s="59" t="s">
        <v>81</v>
      </c>
      <c r="Y147" s="59" t="s">
        <v>80</v>
      </c>
      <c r="Z147" s="59" t="s">
        <v>80</v>
      </c>
      <c r="AA147" s="59" t="s">
        <v>80</v>
      </c>
      <c r="AB147" s="59" t="s">
        <v>81</v>
      </c>
      <c r="AC147" s="59" t="s">
        <v>81</v>
      </c>
      <c r="AD147" s="59" t="s">
        <v>80</v>
      </c>
      <c r="AE147" s="59" t="s">
        <v>80</v>
      </c>
      <c r="AF147" s="59" t="s">
        <v>80</v>
      </c>
      <c r="AG147" s="59" t="s">
        <v>81</v>
      </c>
      <c r="AH147" s="59" t="s">
        <v>81</v>
      </c>
      <c r="AI147" s="59" t="s">
        <v>80</v>
      </c>
      <c r="AJ147" s="59" t="s">
        <v>80</v>
      </c>
      <c r="AK147" s="59" t="s">
        <v>80</v>
      </c>
      <c r="AL147" s="59" t="s">
        <v>81</v>
      </c>
      <c r="AM147" s="59" t="s">
        <v>81</v>
      </c>
      <c r="AN147" s="59" t="s">
        <v>80</v>
      </c>
      <c r="AO147" s="59" t="s">
        <v>80</v>
      </c>
      <c r="AP147" s="59" t="s">
        <v>80</v>
      </c>
      <c r="AQ147" s="59" t="s">
        <v>81</v>
      </c>
      <c r="AR147" s="59" t="s">
        <v>81</v>
      </c>
      <c r="AS147" s="60" t="s">
        <v>80</v>
      </c>
    </row>
    <row r="148" spans="1:45">
      <c r="A148" s="57" t="s">
        <v>1380</v>
      </c>
      <c r="B148" s="57" t="s">
        <v>324</v>
      </c>
      <c r="C148" s="57" t="s">
        <v>325</v>
      </c>
      <c r="D148" s="57" t="s">
        <v>75</v>
      </c>
      <c r="E148" s="57" t="s">
        <v>452</v>
      </c>
      <c r="F148" s="57" t="s">
        <v>76</v>
      </c>
      <c r="G148" s="57" t="s">
        <v>86</v>
      </c>
      <c r="H148" s="57" t="s">
        <v>195</v>
      </c>
      <c r="I148" s="57" t="s">
        <v>79</v>
      </c>
      <c r="J148" s="57" t="s">
        <v>86</v>
      </c>
      <c r="K148" s="57" t="s">
        <v>195</v>
      </c>
      <c r="L148" s="57" t="s">
        <v>79</v>
      </c>
      <c r="M148" s="57" t="s">
        <v>80</v>
      </c>
      <c r="N148" s="57" t="s">
        <v>80</v>
      </c>
      <c r="O148" s="57" t="s">
        <v>80</v>
      </c>
      <c r="P148" s="57" t="s">
        <v>80</v>
      </c>
      <c r="Q148" s="57" t="s">
        <v>80</v>
      </c>
      <c r="R148" s="57" t="s">
        <v>81</v>
      </c>
      <c r="S148" s="57" t="s">
        <v>81</v>
      </c>
      <c r="T148" s="57" t="s">
        <v>80</v>
      </c>
      <c r="U148" s="57" t="s">
        <v>80</v>
      </c>
      <c r="V148" s="57" t="s">
        <v>80</v>
      </c>
      <c r="W148" s="57" t="s">
        <v>81</v>
      </c>
      <c r="X148" s="57" t="s">
        <v>81</v>
      </c>
      <c r="Y148" s="57" t="s">
        <v>80</v>
      </c>
      <c r="Z148" s="57" t="s">
        <v>80</v>
      </c>
      <c r="AA148" s="57" t="s">
        <v>80</v>
      </c>
      <c r="AB148" s="57" t="s">
        <v>81</v>
      </c>
      <c r="AC148" s="57" t="s">
        <v>81</v>
      </c>
      <c r="AD148" s="57" t="s">
        <v>80</v>
      </c>
      <c r="AE148" s="57" t="s">
        <v>80</v>
      </c>
      <c r="AF148" s="57" t="s">
        <v>80</v>
      </c>
      <c r="AG148" s="57" t="s">
        <v>81</v>
      </c>
      <c r="AH148" s="57" t="s">
        <v>81</v>
      </c>
      <c r="AI148" s="57" t="s">
        <v>80</v>
      </c>
      <c r="AJ148" s="57" t="s">
        <v>80</v>
      </c>
      <c r="AK148" s="57" t="s">
        <v>80</v>
      </c>
      <c r="AL148" s="57" t="s">
        <v>81</v>
      </c>
      <c r="AM148" s="57" t="s">
        <v>81</v>
      </c>
      <c r="AN148" s="57" t="s">
        <v>80</v>
      </c>
      <c r="AO148" s="57" t="s">
        <v>80</v>
      </c>
      <c r="AP148" s="57" t="s">
        <v>80</v>
      </c>
      <c r="AQ148" s="57" t="s">
        <v>81</v>
      </c>
      <c r="AR148" s="57" t="s">
        <v>81</v>
      </c>
      <c r="AS148" s="58" t="s">
        <v>80</v>
      </c>
    </row>
    <row r="149" spans="1:45">
      <c r="A149" s="59" t="s">
        <v>1380</v>
      </c>
      <c r="B149" s="59" t="s">
        <v>326</v>
      </c>
      <c r="C149" s="59" t="s">
        <v>327</v>
      </c>
      <c r="D149" s="59" t="s">
        <v>75</v>
      </c>
      <c r="E149" s="59" t="s">
        <v>81</v>
      </c>
      <c r="F149" s="59" t="s">
        <v>76</v>
      </c>
      <c r="G149" s="59" t="s">
        <v>88</v>
      </c>
      <c r="H149" s="59" t="s">
        <v>187</v>
      </c>
      <c r="I149" s="59" t="s">
        <v>79</v>
      </c>
      <c r="J149" s="59" t="s">
        <v>88</v>
      </c>
      <c r="K149" s="59" t="s">
        <v>187</v>
      </c>
      <c r="L149" s="59" t="s">
        <v>79</v>
      </c>
      <c r="M149" s="59" t="s">
        <v>80</v>
      </c>
      <c r="N149" s="59" t="s">
        <v>80</v>
      </c>
      <c r="O149" s="59" t="s">
        <v>80</v>
      </c>
      <c r="P149" s="59" t="s">
        <v>80</v>
      </c>
      <c r="Q149" s="59" t="s">
        <v>80</v>
      </c>
      <c r="R149" s="59" t="s">
        <v>81</v>
      </c>
      <c r="S149" s="59" t="s">
        <v>81</v>
      </c>
      <c r="T149" s="59" t="s">
        <v>80</v>
      </c>
      <c r="U149" s="59" t="s">
        <v>80</v>
      </c>
      <c r="V149" s="59" t="s">
        <v>80</v>
      </c>
      <c r="W149" s="59" t="s">
        <v>81</v>
      </c>
      <c r="X149" s="59" t="s">
        <v>81</v>
      </c>
      <c r="Y149" s="59" t="s">
        <v>80</v>
      </c>
      <c r="Z149" s="59" t="s">
        <v>80</v>
      </c>
      <c r="AA149" s="59" t="s">
        <v>80</v>
      </c>
      <c r="AB149" s="59" t="s">
        <v>81</v>
      </c>
      <c r="AC149" s="59" t="s">
        <v>81</v>
      </c>
      <c r="AD149" s="59" t="s">
        <v>80</v>
      </c>
      <c r="AE149" s="59" t="s">
        <v>80</v>
      </c>
      <c r="AF149" s="59" t="s">
        <v>80</v>
      </c>
      <c r="AG149" s="59" t="s">
        <v>81</v>
      </c>
      <c r="AH149" s="59" t="s">
        <v>81</v>
      </c>
      <c r="AI149" s="59" t="s">
        <v>80</v>
      </c>
      <c r="AJ149" s="59" t="s">
        <v>80</v>
      </c>
      <c r="AK149" s="59" t="s">
        <v>80</v>
      </c>
      <c r="AL149" s="59" t="s">
        <v>81</v>
      </c>
      <c r="AM149" s="59" t="s">
        <v>81</v>
      </c>
      <c r="AN149" s="59" t="s">
        <v>80</v>
      </c>
      <c r="AO149" s="59" t="s">
        <v>80</v>
      </c>
      <c r="AP149" s="59" t="s">
        <v>80</v>
      </c>
      <c r="AQ149" s="59" t="s">
        <v>81</v>
      </c>
      <c r="AR149" s="59" t="s">
        <v>81</v>
      </c>
      <c r="AS149" s="60" t="s">
        <v>80</v>
      </c>
    </row>
    <row r="150" spans="1:45">
      <c r="A150" s="57" t="s">
        <v>1380</v>
      </c>
      <c r="B150" s="57" t="s">
        <v>328</v>
      </c>
      <c r="C150" s="57" t="s">
        <v>329</v>
      </c>
      <c r="D150" s="57" t="s">
        <v>75</v>
      </c>
      <c r="E150" s="57" t="s">
        <v>1399</v>
      </c>
      <c r="F150" s="57" t="s">
        <v>76</v>
      </c>
      <c r="G150" s="57" t="s">
        <v>423</v>
      </c>
      <c r="H150" s="57" t="s">
        <v>403</v>
      </c>
      <c r="I150" s="57" t="s">
        <v>79</v>
      </c>
      <c r="J150" s="57" t="s">
        <v>423</v>
      </c>
      <c r="K150" s="57" t="s">
        <v>403</v>
      </c>
      <c r="L150" s="57" t="s">
        <v>79</v>
      </c>
      <c r="M150" s="57" t="s">
        <v>80</v>
      </c>
      <c r="N150" s="57" t="s">
        <v>80</v>
      </c>
      <c r="O150" s="57" t="s">
        <v>80</v>
      </c>
      <c r="P150" s="57" t="s">
        <v>80</v>
      </c>
      <c r="Q150" s="57" t="s">
        <v>80</v>
      </c>
      <c r="R150" s="57" t="s">
        <v>81</v>
      </c>
      <c r="S150" s="57" t="s">
        <v>81</v>
      </c>
      <c r="T150" s="57" t="s">
        <v>80</v>
      </c>
      <c r="U150" s="57" t="s">
        <v>80</v>
      </c>
      <c r="V150" s="57" t="s">
        <v>80</v>
      </c>
      <c r="W150" s="57" t="s">
        <v>81</v>
      </c>
      <c r="X150" s="57" t="s">
        <v>81</v>
      </c>
      <c r="Y150" s="57" t="s">
        <v>80</v>
      </c>
      <c r="Z150" s="57" t="s">
        <v>80</v>
      </c>
      <c r="AA150" s="57" t="s">
        <v>80</v>
      </c>
      <c r="AB150" s="57" t="s">
        <v>81</v>
      </c>
      <c r="AC150" s="57" t="s">
        <v>81</v>
      </c>
      <c r="AD150" s="57" t="s">
        <v>80</v>
      </c>
      <c r="AE150" s="57" t="s">
        <v>80</v>
      </c>
      <c r="AF150" s="57" t="s">
        <v>80</v>
      </c>
      <c r="AG150" s="57" t="s">
        <v>81</v>
      </c>
      <c r="AH150" s="57" t="s">
        <v>81</v>
      </c>
      <c r="AI150" s="57" t="s">
        <v>80</v>
      </c>
      <c r="AJ150" s="57" t="s">
        <v>80</v>
      </c>
      <c r="AK150" s="57" t="s">
        <v>80</v>
      </c>
      <c r="AL150" s="57" t="s">
        <v>81</v>
      </c>
      <c r="AM150" s="57" t="s">
        <v>81</v>
      </c>
      <c r="AN150" s="57" t="s">
        <v>80</v>
      </c>
      <c r="AO150" s="57" t="s">
        <v>80</v>
      </c>
      <c r="AP150" s="57" t="s">
        <v>80</v>
      </c>
      <c r="AQ150" s="57" t="s">
        <v>81</v>
      </c>
      <c r="AR150" s="57" t="s">
        <v>81</v>
      </c>
      <c r="AS150" s="58" t="s">
        <v>80</v>
      </c>
    </row>
    <row r="151" spans="1:45">
      <c r="A151" s="59" t="s">
        <v>1380</v>
      </c>
      <c r="B151" s="59" t="s">
        <v>330</v>
      </c>
      <c r="C151" s="59" t="s">
        <v>331</v>
      </c>
      <c r="D151" s="59" t="s">
        <v>75</v>
      </c>
      <c r="E151" s="59" t="s">
        <v>104</v>
      </c>
      <c r="F151" s="59" t="s">
        <v>76</v>
      </c>
      <c r="G151" s="59" t="s">
        <v>90</v>
      </c>
      <c r="H151" s="59" t="s">
        <v>91</v>
      </c>
      <c r="I151" s="59" t="s">
        <v>75</v>
      </c>
      <c r="J151" s="59" t="s">
        <v>90</v>
      </c>
      <c r="K151" s="59" t="s">
        <v>91</v>
      </c>
      <c r="L151" s="59" t="s">
        <v>75</v>
      </c>
      <c r="M151" s="59" t="s">
        <v>80</v>
      </c>
      <c r="N151" s="59" t="s">
        <v>80</v>
      </c>
      <c r="O151" s="59" t="s">
        <v>80</v>
      </c>
      <c r="P151" s="59" t="s">
        <v>80</v>
      </c>
      <c r="Q151" s="59" t="s">
        <v>80</v>
      </c>
      <c r="R151" s="59" t="s">
        <v>81</v>
      </c>
      <c r="S151" s="59" t="s">
        <v>81</v>
      </c>
      <c r="T151" s="59" t="s">
        <v>80</v>
      </c>
      <c r="U151" s="59" t="s">
        <v>80</v>
      </c>
      <c r="V151" s="59" t="s">
        <v>80</v>
      </c>
      <c r="W151" s="59" t="s">
        <v>81</v>
      </c>
      <c r="X151" s="59" t="s">
        <v>81</v>
      </c>
      <c r="Y151" s="59" t="s">
        <v>80</v>
      </c>
      <c r="Z151" s="59" t="s">
        <v>80</v>
      </c>
      <c r="AA151" s="59" t="s">
        <v>80</v>
      </c>
      <c r="AB151" s="59" t="s">
        <v>81</v>
      </c>
      <c r="AC151" s="59" t="s">
        <v>81</v>
      </c>
      <c r="AD151" s="59" t="s">
        <v>80</v>
      </c>
      <c r="AE151" s="59" t="s">
        <v>80</v>
      </c>
      <c r="AF151" s="59" t="s">
        <v>80</v>
      </c>
      <c r="AG151" s="59" t="s">
        <v>81</v>
      </c>
      <c r="AH151" s="59" t="s">
        <v>81</v>
      </c>
      <c r="AI151" s="59" t="s">
        <v>80</v>
      </c>
      <c r="AJ151" s="59" t="s">
        <v>80</v>
      </c>
      <c r="AK151" s="59" t="s">
        <v>80</v>
      </c>
      <c r="AL151" s="59" t="s">
        <v>81</v>
      </c>
      <c r="AM151" s="59" t="s">
        <v>81</v>
      </c>
      <c r="AN151" s="59" t="s">
        <v>80</v>
      </c>
      <c r="AO151" s="59" t="s">
        <v>80</v>
      </c>
      <c r="AP151" s="59" t="s">
        <v>80</v>
      </c>
      <c r="AQ151" s="59" t="s">
        <v>81</v>
      </c>
      <c r="AR151" s="59" t="s">
        <v>81</v>
      </c>
      <c r="AS151" s="60" t="s">
        <v>80</v>
      </c>
    </row>
    <row r="152" spans="1:45">
      <c r="A152" s="57" t="s">
        <v>1380</v>
      </c>
      <c r="B152" s="57" t="s">
        <v>332</v>
      </c>
      <c r="C152" s="57" t="s">
        <v>333</v>
      </c>
      <c r="D152" s="57" t="s">
        <v>75</v>
      </c>
      <c r="E152" s="57" t="s">
        <v>1420</v>
      </c>
      <c r="F152" s="57" t="s">
        <v>76</v>
      </c>
      <c r="G152" s="57" t="s">
        <v>90</v>
      </c>
      <c r="H152" s="57" t="s">
        <v>103</v>
      </c>
      <c r="I152" s="57" t="s">
        <v>116</v>
      </c>
      <c r="J152" s="57" t="s">
        <v>90</v>
      </c>
      <c r="K152" s="57" t="s">
        <v>103</v>
      </c>
      <c r="L152" s="57" t="s">
        <v>116</v>
      </c>
      <c r="M152" s="57" t="s">
        <v>80</v>
      </c>
      <c r="N152" s="57" t="s">
        <v>80</v>
      </c>
      <c r="O152" s="57" t="s">
        <v>80</v>
      </c>
      <c r="P152" s="57" t="s">
        <v>80</v>
      </c>
      <c r="Q152" s="57" t="s">
        <v>80</v>
      </c>
      <c r="R152" s="57" t="s">
        <v>81</v>
      </c>
      <c r="S152" s="57" t="s">
        <v>81</v>
      </c>
      <c r="T152" s="57" t="s">
        <v>80</v>
      </c>
      <c r="U152" s="57" t="s">
        <v>80</v>
      </c>
      <c r="V152" s="57" t="s">
        <v>80</v>
      </c>
      <c r="W152" s="57" t="s">
        <v>81</v>
      </c>
      <c r="X152" s="57" t="s">
        <v>81</v>
      </c>
      <c r="Y152" s="57" t="s">
        <v>80</v>
      </c>
      <c r="Z152" s="57" t="s">
        <v>80</v>
      </c>
      <c r="AA152" s="57" t="s">
        <v>80</v>
      </c>
      <c r="AB152" s="57" t="s">
        <v>81</v>
      </c>
      <c r="AC152" s="57" t="s">
        <v>81</v>
      </c>
      <c r="AD152" s="57" t="s">
        <v>80</v>
      </c>
      <c r="AE152" s="57" t="s">
        <v>80</v>
      </c>
      <c r="AF152" s="57" t="s">
        <v>80</v>
      </c>
      <c r="AG152" s="57" t="s">
        <v>81</v>
      </c>
      <c r="AH152" s="57" t="s">
        <v>81</v>
      </c>
      <c r="AI152" s="57" t="s">
        <v>80</v>
      </c>
      <c r="AJ152" s="57" t="s">
        <v>80</v>
      </c>
      <c r="AK152" s="57" t="s">
        <v>80</v>
      </c>
      <c r="AL152" s="57" t="s">
        <v>81</v>
      </c>
      <c r="AM152" s="57" t="s">
        <v>81</v>
      </c>
      <c r="AN152" s="57" t="s">
        <v>80</v>
      </c>
      <c r="AO152" s="57" t="s">
        <v>80</v>
      </c>
      <c r="AP152" s="57" t="s">
        <v>80</v>
      </c>
      <c r="AQ152" s="57" t="s">
        <v>81</v>
      </c>
      <c r="AR152" s="57" t="s">
        <v>81</v>
      </c>
      <c r="AS152" s="58" t="s">
        <v>80</v>
      </c>
    </row>
    <row r="153" spans="1:45">
      <c r="A153" s="59" t="s">
        <v>1380</v>
      </c>
      <c r="B153" s="59" t="s">
        <v>334</v>
      </c>
      <c r="C153" s="59" t="s">
        <v>335</v>
      </c>
      <c r="D153" s="59" t="s">
        <v>75</v>
      </c>
      <c r="E153" s="59" t="s">
        <v>221</v>
      </c>
      <c r="F153" s="59" t="s">
        <v>76</v>
      </c>
      <c r="G153" s="59" t="s">
        <v>79</v>
      </c>
      <c r="H153" s="59" t="s">
        <v>78</v>
      </c>
      <c r="I153" s="59" t="s">
        <v>77</v>
      </c>
      <c r="J153" s="59" t="s">
        <v>79</v>
      </c>
      <c r="K153" s="59" t="s">
        <v>78</v>
      </c>
      <c r="L153" s="59" t="s">
        <v>77</v>
      </c>
      <c r="M153" s="59" t="s">
        <v>80</v>
      </c>
      <c r="N153" s="59" t="s">
        <v>80</v>
      </c>
      <c r="O153" s="59" t="s">
        <v>80</v>
      </c>
      <c r="P153" s="59" t="s">
        <v>80</v>
      </c>
      <c r="Q153" s="59" t="s">
        <v>80</v>
      </c>
      <c r="R153" s="59" t="s">
        <v>81</v>
      </c>
      <c r="S153" s="59" t="s">
        <v>81</v>
      </c>
      <c r="T153" s="59" t="s">
        <v>80</v>
      </c>
      <c r="U153" s="59" t="s">
        <v>80</v>
      </c>
      <c r="V153" s="59" t="s">
        <v>80</v>
      </c>
      <c r="W153" s="59" t="s">
        <v>81</v>
      </c>
      <c r="X153" s="59" t="s">
        <v>81</v>
      </c>
      <c r="Y153" s="59" t="s">
        <v>80</v>
      </c>
      <c r="Z153" s="59" t="s">
        <v>80</v>
      </c>
      <c r="AA153" s="59" t="s">
        <v>80</v>
      </c>
      <c r="AB153" s="59" t="s">
        <v>81</v>
      </c>
      <c r="AC153" s="59" t="s">
        <v>81</v>
      </c>
      <c r="AD153" s="59" t="s">
        <v>80</v>
      </c>
      <c r="AE153" s="59" t="s">
        <v>80</v>
      </c>
      <c r="AF153" s="59" t="s">
        <v>80</v>
      </c>
      <c r="AG153" s="59" t="s">
        <v>81</v>
      </c>
      <c r="AH153" s="59" t="s">
        <v>81</v>
      </c>
      <c r="AI153" s="59" t="s">
        <v>80</v>
      </c>
      <c r="AJ153" s="59" t="s">
        <v>80</v>
      </c>
      <c r="AK153" s="59" t="s">
        <v>80</v>
      </c>
      <c r="AL153" s="59" t="s">
        <v>81</v>
      </c>
      <c r="AM153" s="59" t="s">
        <v>81</v>
      </c>
      <c r="AN153" s="59" t="s">
        <v>80</v>
      </c>
      <c r="AO153" s="59" t="s">
        <v>80</v>
      </c>
      <c r="AP153" s="59" t="s">
        <v>80</v>
      </c>
      <c r="AQ153" s="59" t="s">
        <v>81</v>
      </c>
      <c r="AR153" s="59" t="s">
        <v>81</v>
      </c>
      <c r="AS153" s="60" t="s">
        <v>80</v>
      </c>
    </row>
    <row r="154" spans="1:45">
      <c r="A154" s="57" t="s">
        <v>1380</v>
      </c>
      <c r="B154" s="57" t="s">
        <v>492</v>
      </c>
      <c r="C154" s="57" t="s">
        <v>493</v>
      </c>
      <c r="D154" s="57" t="s">
        <v>75</v>
      </c>
      <c r="E154" s="57" t="s">
        <v>97</v>
      </c>
      <c r="F154" s="57" t="s">
        <v>76</v>
      </c>
      <c r="G154" s="57" t="s">
        <v>115</v>
      </c>
      <c r="H154" s="57" t="s">
        <v>91</v>
      </c>
      <c r="I154" s="57" t="s">
        <v>79</v>
      </c>
      <c r="J154" s="57" t="s">
        <v>115</v>
      </c>
      <c r="K154" s="57" t="s">
        <v>91</v>
      </c>
      <c r="L154" s="57" t="s">
        <v>79</v>
      </c>
      <c r="M154" s="57" t="s">
        <v>80</v>
      </c>
      <c r="N154" s="57" t="s">
        <v>80</v>
      </c>
      <c r="O154" s="57" t="s">
        <v>80</v>
      </c>
      <c r="P154" s="57" t="s">
        <v>80</v>
      </c>
      <c r="Q154" s="57" t="s">
        <v>80</v>
      </c>
      <c r="R154" s="57" t="s">
        <v>81</v>
      </c>
      <c r="S154" s="57" t="s">
        <v>81</v>
      </c>
      <c r="T154" s="57" t="s">
        <v>80</v>
      </c>
      <c r="U154" s="57" t="s">
        <v>80</v>
      </c>
      <c r="V154" s="57" t="s">
        <v>80</v>
      </c>
      <c r="W154" s="57" t="s">
        <v>81</v>
      </c>
      <c r="X154" s="57" t="s">
        <v>81</v>
      </c>
      <c r="Y154" s="57" t="s">
        <v>80</v>
      </c>
      <c r="Z154" s="57" t="s">
        <v>80</v>
      </c>
      <c r="AA154" s="57" t="s">
        <v>80</v>
      </c>
      <c r="AB154" s="57" t="s">
        <v>81</v>
      </c>
      <c r="AC154" s="57" t="s">
        <v>81</v>
      </c>
      <c r="AD154" s="57" t="s">
        <v>80</v>
      </c>
      <c r="AE154" s="57" t="s">
        <v>80</v>
      </c>
      <c r="AF154" s="57" t="s">
        <v>80</v>
      </c>
      <c r="AG154" s="57" t="s">
        <v>81</v>
      </c>
      <c r="AH154" s="57" t="s">
        <v>81</v>
      </c>
      <c r="AI154" s="57" t="s">
        <v>80</v>
      </c>
      <c r="AJ154" s="57" t="s">
        <v>80</v>
      </c>
      <c r="AK154" s="57" t="s">
        <v>80</v>
      </c>
      <c r="AL154" s="57" t="s">
        <v>81</v>
      </c>
      <c r="AM154" s="57" t="s">
        <v>81</v>
      </c>
      <c r="AN154" s="57" t="s">
        <v>80</v>
      </c>
      <c r="AO154" s="57" t="s">
        <v>80</v>
      </c>
      <c r="AP154" s="57" t="s">
        <v>80</v>
      </c>
      <c r="AQ154" s="57" t="s">
        <v>81</v>
      </c>
      <c r="AR154" s="57" t="s">
        <v>81</v>
      </c>
      <c r="AS154" s="58" t="s">
        <v>80</v>
      </c>
    </row>
    <row r="155" spans="1:45">
      <c r="A155" s="59" t="s">
        <v>1380</v>
      </c>
      <c r="B155" s="59" t="s">
        <v>336</v>
      </c>
      <c r="C155" s="59" t="s">
        <v>337</v>
      </c>
      <c r="D155" s="59" t="s">
        <v>75</v>
      </c>
      <c r="E155" s="59" t="s">
        <v>261</v>
      </c>
      <c r="F155" s="59" t="s">
        <v>76</v>
      </c>
      <c r="G155" s="59" t="s">
        <v>166</v>
      </c>
      <c r="H155" s="59" t="s">
        <v>156</v>
      </c>
      <c r="I155" s="59" t="s">
        <v>79</v>
      </c>
      <c r="J155" s="59" t="s">
        <v>166</v>
      </c>
      <c r="K155" s="59" t="s">
        <v>156</v>
      </c>
      <c r="L155" s="59" t="s">
        <v>79</v>
      </c>
      <c r="M155" s="59" t="s">
        <v>80</v>
      </c>
      <c r="N155" s="59" t="s">
        <v>80</v>
      </c>
      <c r="O155" s="59" t="s">
        <v>80</v>
      </c>
      <c r="P155" s="59" t="s">
        <v>80</v>
      </c>
      <c r="Q155" s="59" t="s">
        <v>80</v>
      </c>
      <c r="R155" s="59" t="s">
        <v>81</v>
      </c>
      <c r="S155" s="59" t="s">
        <v>81</v>
      </c>
      <c r="T155" s="59" t="s">
        <v>80</v>
      </c>
      <c r="U155" s="59" t="s">
        <v>80</v>
      </c>
      <c r="V155" s="59" t="s">
        <v>80</v>
      </c>
      <c r="W155" s="59" t="s">
        <v>81</v>
      </c>
      <c r="X155" s="59" t="s">
        <v>81</v>
      </c>
      <c r="Y155" s="59" t="s">
        <v>80</v>
      </c>
      <c r="Z155" s="59" t="s">
        <v>80</v>
      </c>
      <c r="AA155" s="59" t="s">
        <v>80</v>
      </c>
      <c r="AB155" s="59" t="s">
        <v>81</v>
      </c>
      <c r="AC155" s="59" t="s">
        <v>81</v>
      </c>
      <c r="AD155" s="59" t="s">
        <v>80</v>
      </c>
      <c r="AE155" s="59" t="s">
        <v>80</v>
      </c>
      <c r="AF155" s="59" t="s">
        <v>80</v>
      </c>
      <c r="AG155" s="59" t="s">
        <v>81</v>
      </c>
      <c r="AH155" s="59" t="s">
        <v>81</v>
      </c>
      <c r="AI155" s="59" t="s">
        <v>80</v>
      </c>
      <c r="AJ155" s="59" t="s">
        <v>80</v>
      </c>
      <c r="AK155" s="59" t="s">
        <v>80</v>
      </c>
      <c r="AL155" s="59" t="s">
        <v>81</v>
      </c>
      <c r="AM155" s="59" t="s">
        <v>81</v>
      </c>
      <c r="AN155" s="59" t="s">
        <v>80</v>
      </c>
      <c r="AO155" s="59" t="s">
        <v>80</v>
      </c>
      <c r="AP155" s="59" t="s">
        <v>80</v>
      </c>
      <c r="AQ155" s="59" t="s">
        <v>81</v>
      </c>
      <c r="AR155" s="59" t="s">
        <v>81</v>
      </c>
      <c r="AS155" s="60" t="s">
        <v>80</v>
      </c>
    </row>
    <row r="156" spans="1:45">
      <c r="A156" s="57" t="s">
        <v>1380</v>
      </c>
      <c r="B156" s="57" t="s">
        <v>338</v>
      </c>
      <c r="C156" s="57" t="s">
        <v>339</v>
      </c>
      <c r="D156" s="57" t="s">
        <v>75</v>
      </c>
      <c r="E156" s="57" t="s">
        <v>207</v>
      </c>
      <c r="F156" s="57" t="s">
        <v>76</v>
      </c>
      <c r="G156" s="57" t="s">
        <v>166</v>
      </c>
      <c r="H156" s="57" t="s">
        <v>210</v>
      </c>
      <c r="I156" s="57" t="s">
        <v>77</v>
      </c>
      <c r="J156" s="57" t="s">
        <v>166</v>
      </c>
      <c r="K156" s="57" t="s">
        <v>210</v>
      </c>
      <c r="L156" s="57" t="s">
        <v>77</v>
      </c>
      <c r="M156" s="57" t="s">
        <v>80</v>
      </c>
      <c r="N156" s="57" t="s">
        <v>80</v>
      </c>
      <c r="O156" s="57" t="s">
        <v>80</v>
      </c>
      <c r="P156" s="57" t="s">
        <v>80</v>
      </c>
      <c r="Q156" s="57" t="s">
        <v>80</v>
      </c>
      <c r="R156" s="57" t="s">
        <v>81</v>
      </c>
      <c r="S156" s="57" t="s">
        <v>81</v>
      </c>
      <c r="T156" s="57" t="s">
        <v>80</v>
      </c>
      <c r="U156" s="57" t="s">
        <v>80</v>
      </c>
      <c r="V156" s="57" t="s">
        <v>80</v>
      </c>
      <c r="W156" s="57" t="s">
        <v>81</v>
      </c>
      <c r="X156" s="57" t="s">
        <v>81</v>
      </c>
      <c r="Y156" s="57" t="s">
        <v>80</v>
      </c>
      <c r="Z156" s="57" t="s">
        <v>80</v>
      </c>
      <c r="AA156" s="57" t="s">
        <v>80</v>
      </c>
      <c r="AB156" s="57" t="s">
        <v>81</v>
      </c>
      <c r="AC156" s="57" t="s">
        <v>81</v>
      </c>
      <c r="AD156" s="57" t="s">
        <v>80</v>
      </c>
      <c r="AE156" s="57" t="s">
        <v>80</v>
      </c>
      <c r="AF156" s="57" t="s">
        <v>80</v>
      </c>
      <c r="AG156" s="57" t="s">
        <v>81</v>
      </c>
      <c r="AH156" s="57" t="s">
        <v>81</v>
      </c>
      <c r="AI156" s="57" t="s">
        <v>80</v>
      </c>
      <c r="AJ156" s="57" t="s">
        <v>80</v>
      </c>
      <c r="AK156" s="57" t="s">
        <v>80</v>
      </c>
      <c r="AL156" s="57" t="s">
        <v>81</v>
      </c>
      <c r="AM156" s="57" t="s">
        <v>81</v>
      </c>
      <c r="AN156" s="57" t="s">
        <v>80</v>
      </c>
      <c r="AO156" s="57" t="s">
        <v>80</v>
      </c>
      <c r="AP156" s="57" t="s">
        <v>80</v>
      </c>
      <c r="AQ156" s="57" t="s">
        <v>81</v>
      </c>
      <c r="AR156" s="57" t="s">
        <v>81</v>
      </c>
      <c r="AS156" s="58" t="s">
        <v>80</v>
      </c>
    </row>
    <row r="157" spans="1:45">
      <c r="A157" s="59" t="s">
        <v>1380</v>
      </c>
      <c r="B157" s="59" t="s">
        <v>341</v>
      </c>
      <c r="C157" s="59" t="s">
        <v>342</v>
      </c>
      <c r="D157" s="59" t="s">
        <v>75</v>
      </c>
      <c r="E157" s="59" t="s">
        <v>124</v>
      </c>
      <c r="F157" s="59" t="s">
        <v>76</v>
      </c>
      <c r="G157" s="59" t="s">
        <v>79</v>
      </c>
      <c r="H157" s="59" t="s">
        <v>190</v>
      </c>
      <c r="I157" s="59" t="s">
        <v>79</v>
      </c>
      <c r="J157" s="59" t="s">
        <v>79</v>
      </c>
      <c r="K157" s="59" t="s">
        <v>190</v>
      </c>
      <c r="L157" s="59" t="s">
        <v>79</v>
      </c>
      <c r="M157" s="59" t="s">
        <v>80</v>
      </c>
      <c r="N157" s="59" t="s">
        <v>80</v>
      </c>
      <c r="O157" s="59" t="s">
        <v>80</v>
      </c>
      <c r="P157" s="59" t="s">
        <v>80</v>
      </c>
      <c r="Q157" s="59" t="s">
        <v>80</v>
      </c>
      <c r="R157" s="59" t="s">
        <v>81</v>
      </c>
      <c r="S157" s="59" t="s">
        <v>81</v>
      </c>
      <c r="T157" s="59" t="s">
        <v>80</v>
      </c>
      <c r="U157" s="59" t="s">
        <v>80</v>
      </c>
      <c r="V157" s="59" t="s">
        <v>80</v>
      </c>
      <c r="W157" s="59" t="s">
        <v>81</v>
      </c>
      <c r="X157" s="59" t="s">
        <v>81</v>
      </c>
      <c r="Y157" s="59" t="s">
        <v>80</v>
      </c>
      <c r="Z157" s="59" t="s">
        <v>80</v>
      </c>
      <c r="AA157" s="59" t="s">
        <v>80</v>
      </c>
      <c r="AB157" s="59" t="s">
        <v>81</v>
      </c>
      <c r="AC157" s="59" t="s">
        <v>81</v>
      </c>
      <c r="AD157" s="59" t="s">
        <v>80</v>
      </c>
      <c r="AE157" s="59" t="s">
        <v>80</v>
      </c>
      <c r="AF157" s="59" t="s">
        <v>80</v>
      </c>
      <c r="AG157" s="59" t="s">
        <v>81</v>
      </c>
      <c r="AH157" s="59" t="s">
        <v>81</v>
      </c>
      <c r="AI157" s="59" t="s">
        <v>80</v>
      </c>
      <c r="AJ157" s="59" t="s">
        <v>80</v>
      </c>
      <c r="AK157" s="59" t="s">
        <v>80</v>
      </c>
      <c r="AL157" s="59" t="s">
        <v>81</v>
      </c>
      <c r="AM157" s="59" t="s">
        <v>81</v>
      </c>
      <c r="AN157" s="59" t="s">
        <v>80</v>
      </c>
      <c r="AO157" s="59" t="s">
        <v>80</v>
      </c>
      <c r="AP157" s="59" t="s">
        <v>80</v>
      </c>
      <c r="AQ157" s="59" t="s">
        <v>81</v>
      </c>
      <c r="AR157" s="59" t="s">
        <v>81</v>
      </c>
      <c r="AS157" s="60" t="s">
        <v>80</v>
      </c>
    </row>
    <row r="158" spans="1:45">
      <c r="A158" s="57" t="s">
        <v>1380</v>
      </c>
      <c r="B158" s="57" t="s">
        <v>496</v>
      </c>
      <c r="C158" s="57" t="s">
        <v>497</v>
      </c>
      <c r="D158" s="57" t="s">
        <v>75</v>
      </c>
      <c r="E158" s="57" t="s">
        <v>81</v>
      </c>
      <c r="F158" s="57" t="s">
        <v>76</v>
      </c>
      <c r="G158" s="57" t="s">
        <v>82</v>
      </c>
      <c r="H158" s="57" t="s">
        <v>79</v>
      </c>
      <c r="I158" s="57" t="s">
        <v>79</v>
      </c>
      <c r="J158" s="57" t="s">
        <v>82</v>
      </c>
      <c r="K158" s="57" t="s">
        <v>79</v>
      </c>
      <c r="L158" s="57" t="s">
        <v>79</v>
      </c>
      <c r="M158" s="57" t="s">
        <v>80</v>
      </c>
      <c r="N158" s="57" t="s">
        <v>80</v>
      </c>
      <c r="O158" s="57" t="s">
        <v>80</v>
      </c>
      <c r="P158" s="57" t="s">
        <v>80</v>
      </c>
      <c r="Q158" s="57" t="s">
        <v>80</v>
      </c>
      <c r="R158" s="57" t="s">
        <v>81</v>
      </c>
      <c r="S158" s="57" t="s">
        <v>81</v>
      </c>
      <c r="T158" s="57" t="s">
        <v>80</v>
      </c>
      <c r="U158" s="57" t="s">
        <v>80</v>
      </c>
      <c r="V158" s="57" t="s">
        <v>80</v>
      </c>
      <c r="W158" s="57" t="s">
        <v>81</v>
      </c>
      <c r="X158" s="57" t="s">
        <v>81</v>
      </c>
      <c r="Y158" s="57" t="s">
        <v>80</v>
      </c>
      <c r="Z158" s="57" t="s">
        <v>80</v>
      </c>
      <c r="AA158" s="57" t="s">
        <v>80</v>
      </c>
      <c r="AB158" s="57" t="s">
        <v>81</v>
      </c>
      <c r="AC158" s="57" t="s">
        <v>81</v>
      </c>
      <c r="AD158" s="57" t="s">
        <v>80</v>
      </c>
      <c r="AE158" s="57" t="s">
        <v>80</v>
      </c>
      <c r="AF158" s="57" t="s">
        <v>80</v>
      </c>
      <c r="AG158" s="57" t="s">
        <v>81</v>
      </c>
      <c r="AH158" s="57" t="s">
        <v>81</v>
      </c>
      <c r="AI158" s="57" t="s">
        <v>80</v>
      </c>
      <c r="AJ158" s="57" t="s">
        <v>80</v>
      </c>
      <c r="AK158" s="57" t="s">
        <v>80</v>
      </c>
      <c r="AL158" s="57" t="s">
        <v>81</v>
      </c>
      <c r="AM158" s="57" t="s">
        <v>81</v>
      </c>
      <c r="AN158" s="57" t="s">
        <v>80</v>
      </c>
      <c r="AO158" s="57" t="s">
        <v>80</v>
      </c>
      <c r="AP158" s="57" t="s">
        <v>80</v>
      </c>
      <c r="AQ158" s="57" t="s">
        <v>81</v>
      </c>
      <c r="AR158" s="57" t="s">
        <v>81</v>
      </c>
      <c r="AS158" s="58" t="s">
        <v>80</v>
      </c>
    </row>
    <row r="159" spans="1:45">
      <c r="A159" s="59" t="s">
        <v>1380</v>
      </c>
      <c r="B159" s="59" t="s">
        <v>343</v>
      </c>
      <c r="C159" s="59" t="s">
        <v>344</v>
      </c>
      <c r="D159" s="59" t="s">
        <v>75</v>
      </c>
      <c r="E159" s="59" t="s">
        <v>81</v>
      </c>
      <c r="F159" s="59" t="s">
        <v>76</v>
      </c>
      <c r="G159" s="59" t="s">
        <v>90</v>
      </c>
      <c r="H159" s="59" t="s">
        <v>75</v>
      </c>
      <c r="I159" s="59" t="s">
        <v>79</v>
      </c>
      <c r="J159" s="59" t="s">
        <v>90</v>
      </c>
      <c r="K159" s="59" t="s">
        <v>75</v>
      </c>
      <c r="L159" s="59" t="s">
        <v>79</v>
      </c>
      <c r="M159" s="59" t="s">
        <v>80</v>
      </c>
      <c r="N159" s="59" t="s">
        <v>80</v>
      </c>
      <c r="O159" s="59" t="s">
        <v>80</v>
      </c>
      <c r="P159" s="59" t="s">
        <v>80</v>
      </c>
      <c r="Q159" s="59" t="s">
        <v>80</v>
      </c>
      <c r="R159" s="59" t="s">
        <v>81</v>
      </c>
      <c r="S159" s="59" t="s">
        <v>81</v>
      </c>
      <c r="T159" s="59" t="s">
        <v>80</v>
      </c>
      <c r="U159" s="59" t="s">
        <v>80</v>
      </c>
      <c r="V159" s="59" t="s">
        <v>80</v>
      </c>
      <c r="W159" s="59" t="s">
        <v>81</v>
      </c>
      <c r="X159" s="59" t="s">
        <v>81</v>
      </c>
      <c r="Y159" s="59" t="s">
        <v>80</v>
      </c>
      <c r="Z159" s="59" t="s">
        <v>80</v>
      </c>
      <c r="AA159" s="59" t="s">
        <v>80</v>
      </c>
      <c r="AB159" s="59" t="s">
        <v>81</v>
      </c>
      <c r="AC159" s="59" t="s">
        <v>81</v>
      </c>
      <c r="AD159" s="59" t="s">
        <v>80</v>
      </c>
      <c r="AE159" s="59" t="s">
        <v>80</v>
      </c>
      <c r="AF159" s="59" t="s">
        <v>80</v>
      </c>
      <c r="AG159" s="59" t="s">
        <v>81</v>
      </c>
      <c r="AH159" s="59" t="s">
        <v>81</v>
      </c>
      <c r="AI159" s="59" t="s">
        <v>80</v>
      </c>
      <c r="AJ159" s="59" t="s">
        <v>80</v>
      </c>
      <c r="AK159" s="59" t="s">
        <v>80</v>
      </c>
      <c r="AL159" s="59" t="s">
        <v>81</v>
      </c>
      <c r="AM159" s="59" t="s">
        <v>81</v>
      </c>
      <c r="AN159" s="59" t="s">
        <v>80</v>
      </c>
      <c r="AO159" s="59" t="s">
        <v>80</v>
      </c>
      <c r="AP159" s="59" t="s">
        <v>80</v>
      </c>
      <c r="AQ159" s="59" t="s">
        <v>81</v>
      </c>
      <c r="AR159" s="59" t="s">
        <v>81</v>
      </c>
      <c r="AS159" s="60" t="s">
        <v>80</v>
      </c>
    </row>
    <row r="160" spans="1:45">
      <c r="A160" s="57" t="s">
        <v>1380</v>
      </c>
      <c r="B160" s="57" t="s">
        <v>345</v>
      </c>
      <c r="C160" s="57" t="s">
        <v>346</v>
      </c>
      <c r="D160" s="57" t="s">
        <v>75</v>
      </c>
      <c r="E160" s="57" t="s">
        <v>224</v>
      </c>
      <c r="F160" s="57" t="s">
        <v>76</v>
      </c>
      <c r="G160" s="57" t="s">
        <v>98</v>
      </c>
      <c r="H160" s="57" t="s">
        <v>1446</v>
      </c>
      <c r="I160" s="57" t="s">
        <v>88</v>
      </c>
      <c r="J160" s="57" t="s">
        <v>98</v>
      </c>
      <c r="K160" s="57" t="s">
        <v>1446</v>
      </c>
      <c r="L160" s="57" t="s">
        <v>88</v>
      </c>
      <c r="M160" s="57" t="s">
        <v>80</v>
      </c>
      <c r="N160" s="57" t="s">
        <v>80</v>
      </c>
      <c r="O160" s="57" t="s">
        <v>80</v>
      </c>
      <c r="P160" s="57" t="s">
        <v>80</v>
      </c>
      <c r="Q160" s="57" t="s">
        <v>80</v>
      </c>
      <c r="R160" s="57" t="s">
        <v>81</v>
      </c>
      <c r="S160" s="57" t="s">
        <v>81</v>
      </c>
      <c r="T160" s="57" t="s">
        <v>80</v>
      </c>
      <c r="U160" s="57" t="s">
        <v>80</v>
      </c>
      <c r="V160" s="57" t="s">
        <v>80</v>
      </c>
      <c r="W160" s="57" t="s">
        <v>81</v>
      </c>
      <c r="X160" s="57" t="s">
        <v>81</v>
      </c>
      <c r="Y160" s="57" t="s">
        <v>80</v>
      </c>
      <c r="Z160" s="57" t="s">
        <v>80</v>
      </c>
      <c r="AA160" s="57" t="s">
        <v>80</v>
      </c>
      <c r="AB160" s="57" t="s">
        <v>81</v>
      </c>
      <c r="AC160" s="57" t="s">
        <v>81</v>
      </c>
      <c r="AD160" s="57" t="s">
        <v>80</v>
      </c>
      <c r="AE160" s="57" t="s">
        <v>80</v>
      </c>
      <c r="AF160" s="57" t="s">
        <v>80</v>
      </c>
      <c r="AG160" s="57" t="s">
        <v>81</v>
      </c>
      <c r="AH160" s="57" t="s">
        <v>81</v>
      </c>
      <c r="AI160" s="57" t="s">
        <v>80</v>
      </c>
      <c r="AJ160" s="57" t="s">
        <v>80</v>
      </c>
      <c r="AK160" s="57" t="s">
        <v>80</v>
      </c>
      <c r="AL160" s="57" t="s">
        <v>81</v>
      </c>
      <c r="AM160" s="57" t="s">
        <v>81</v>
      </c>
      <c r="AN160" s="57" t="s">
        <v>80</v>
      </c>
      <c r="AO160" s="57" t="s">
        <v>80</v>
      </c>
      <c r="AP160" s="57" t="s">
        <v>80</v>
      </c>
      <c r="AQ160" s="57" t="s">
        <v>81</v>
      </c>
      <c r="AR160" s="57" t="s">
        <v>81</v>
      </c>
      <c r="AS160" s="58" t="s">
        <v>80</v>
      </c>
    </row>
  </sheetData>
  <phoneticPr fontId="4"/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opLeftCell="C1" zoomScaleNormal="100" workbookViewId="0">
      <selection activeCell="H18" sqref="H18"/>
    </sheetView>
  </sheetViews>
  <sheetFormatPr defaultColWidth="8.6328125" defaultRowHeight="14.5"/>
  <cols>
    <col min="1" max="1" width="15" customWidth="1"/>
    <col min="2" max="2" width="83.54296875" customWidth="1"/>
    <col min="3" max="3" width="12" customWidth="1"/>
    <col min="4" max="4" width="50" customWidth="1"/>
    <col min="5" max="5" width="9.26953125" bestFit="1" customWidth="1"/>
    <col min="6" max="6" width="20.26953125" bestFit="1" customWidth="1"/>
  </cols>
  <sheetData>
    <row r="1" spans="1:6">
      <c r="A1" s="6" t="s">
        <v>19</v>
      </c>
      <c r="B1" s="6" t="s">
        <v>20</v>
      </c>
      <c r="C1" s="6" t="s">
        <v>21</v>
      </c>
      <c r="D1" s="6" t="s">
        <v>501</v>
      </c>
      <c r="E1" s="6" t="s">
        <v>389</v>
      </c>
      <c r="F1" s="7" t="s">
        <v>502</v>
      </c>
    </row>
    <row r="2" spans="1:6">
      <c r="A2" s="4" t="s">
        <v>22</v>
      </c>
      <c r="B2" s="4" t="s">
        <v>503</v>
      </c>
      <c r="C2" s="4" t="s">
        <v>504</v>
      </c>
      <c r="D2" s="4" t="s">
        <v>23</v>
      </c>
      <c r="E2" s="4" t="s">
        <v>103</v>
      </c>
      <c r="F2" s="5" t="s">
        <v>24</v>
      </c>
    </row>
    <row r="3" spans="1:6">
      <c r="A3" s="6" t="s">
        <v>25</v>
      </c>
      <c r="B3" s="6" t="s">
        <v>505</v>
      </c>
      <c r="C3" s="6" t="s">
        <v>506</v>
      </c>
      <c r="D3" s="6" t="s">
        <v>26</v>
      </c>
      <c r="E3" s="6" t="s">
        <v>103</v>
      </c>
      <c r="F3" s="7" t="s">
        <v>24</v>
      </c>
    </row>
    <row r="4" spans="1:6">
      <c r="A4" s="4" t="s">
        <v>27</v>
      </c>
      <c r="B4" s="4" t="s">
        <v>507</v>
      </c>
      <c r="C4" s="4" t="s">
        <v>508</v>
      </c>
      <c r="D4" s="4" t="s">
        <v>28</v>
      </c>
      <c r="E4" s="4" t="s">
        <v>103</v>
      </c>
      <c r="F4" s="5" t="s">
        <v>24</v>
      </c>
    </row>
    <row r="5" spans="1:6">
      <c r="A5" s="6" t="s">
        <v>29</v>
      </c>
      <c r="B5" s="6" t="s">
        <v>509</v>
      </c>
      <c r="C5" s="6" t="s">
        <v>510</v>
      </c>
      <c r="D5" s="6" t="s">
        <v>30</v>
      </c>
      <c r="E5" s="6" t="s">
        <v>103</v>
      </c>
      <c r="F5" s="7" t="s">
        <v>24</v>
      </c>
    </row>
    <row r="6" spans="1:6">
      <c r="A6" s="4" t="s">
        <v>31</v>
      </c>
      <c r="B6" s="4" t="s">
        <v>511</v>
      </c>
      <c r="C6" s="4" t="s">
        <v>512</v>
      </c>
      <c r="D6" s="4" t="s">
        <v>32</v>
      </c>
      <c r="E6" s="4" t="s">
        <v>103</v>
      </c>
      <c r="F6" s="5" t="s">
        <v>24</v>
      </c>
    </row>
    <row r="7" spans="1:6">
      <c r="A7" s="6" t="s">
        <v>33</v>
      </c>
      <c r="B7" s="6" t="s">
        <v>513</v>
      </c>
      <c r="C7" s="6" t="s">
        <v>394</v>
      </c>
      <c r="D7" s="6" t="s">
        <v>34</v>
      </c>
      <c r="E7" s="6" t="s">
        <v>103</v>
      </c>
      <c r="F7" s="7" t="s">
        <v>24</v>
      </c>
    </row>
    <row r="8" spans="1:6">
      <c r="A8" s="4" t="s">
        <v>35</v>
      </c>
      <c r="B8" s="4" t="s">
        <v>514</v>
      </c>
      <c r="C8" s="4" t="s">
        <v>515</v>
      </c>
      <c r="D8" s="4" t="s">
        <v>36</v>
      </c>
      <c r="E8" s="4" t="s">
        <v>103</v>
      </c>
      <c r="F8" s="5" t="s">
        <v>24</v>
      </c>
    </row>
    <row r="9" spans="1:6">
      <c r="A9" s="6" t="s">
        <v>37</v>
      </c>
      <c r="B9" s="6" t="s">
        <v>516</v>
      </c>
      <c r="C9" s="6" t="s">
        <v>517</v>
      </c>
      <c r="D9" s="6" t="s">
        <v>38</v>
      </c>
      <c r="E9" s="6" t="s">
        <v>103</v>
      </c>
      <c r="F9" s="7" t="s">
        <v>24</v>
      </c>
    </row>
    <row r="10" spans="1:6">
      <c r="A10" s="4" t="s">
        <v>39</v>
      </c>
      <c r="B10" s="4" t="s">
        <v>518</v>
      </c>
      <c r="C10" s="4" t="s">
        <v>404</v>
      </c>
      <c r="D10" s="4" t="s">
        <v>40</v>
      </c>
      <c r="E10" s="4" t="s">
        <v>103</v>
      </c>
      <c r="F10" s="5" t="s">
        <v>24</v>
      </c>
    </row>
    <row r="11" spans="1:6">
      <c r="A11" s="6" t="s">
        <v>41</v>
      </c>
      <c r="B11" s="6" t="s">
        <v>519</v>
      </c>
      <c r="C11" s="6" t="s">
        <v>520</v>
      </c>
      <c r="D11" s="6" t="s">
        <v>42</v>
      </c>
      <c r="E11" s="6" t="s">
        <v>103</v>
      </c>
      <c r="F11" s="7" t="s">
        <v>24</v>
      </c>
    </row>
  </sheetData>
  <phoneticPr fontId="4"/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opLeftCell="C1" zoomScaleNormal="100" workbookViewId="0">
      <selection activeCell="F14" sqref="F14"/>
    </sheetView>
  </sheetViews>
  <sheetFormatPr defaultColWidth="8.6328125" defaultRowHeight="14.5"/>
  <cols>
    <col min="1" max="1" width="15" customWidth="1"/>
    <col min="2" max="2" width="45" customWidth="1"/>
    <col min="3" max="3" width="10" customWidth="1"/>
    <col min="4" max="4" width="45" customWidth="1"/>
    <col min="5" max="5" width="10" customWidth="1"/>
    <col min="6" max="6" width="35" customWidth="1"/>
    <col min="7" max="7" width="17.81640625" bestFit="1" customWidth="1"/>
    <col min="8" max="8" width="10" customWidth="1"/>
  </cols>
  <sheetData>
    <row r="1" spans="1:8">
      <c r="A1" s="6" t="s">
        <v>19</v>
      </c>
      <c r="B1" s="6" t="s">
        <v>20</v>
      </c>
      <c r="C1" s="6" t="s">
        <v>21</v>
      </c>
      <c r="D1" s="6" t="s">
        <v>501</v>
      </c>
      <c r="E1" s="6" t="s">
        <v>389</v>
      </c>
      <c r="F1" s="6" t="s">
        <v>43</v>
      </c>
      <c r="G1" s="6" t="s">
        <v>521</v>
      </c>
      <c r="H1" s="7" t="s">
        <v>522</v>
      </c>
    </row>
    <row r="2" spans="1:8">
      <c r="A2" s="4" t="s">
        <v>33</v>
      </c>
      <c r="B2" s="4" t="s">
        <v>513</v>
      </c>
      <c r="C2" s="4" t="s">
        <v>394</v>
      </c>
      <c r="D2" s="4" t="s">
        <v>34</v>
      </c>
      <c r="E2" s="4" t="s">
        <v>103</v>
      </c>
      <c r="F2" s="4" t="s">
        <v>44</v>
      </c>
      <c r="G2" s="4" t="s">
        <v>91</v>
      </c>
      <c r="H2" s="5" t="s">
        <v>91</v>
      </c>
    </row>
    <row r="3" spans="1:8">
      <c r="A3" s="6" t="s">
        <v>39</v>
      </c>
      <c r="B3" s="6" t="s">
        <v>518</v>
      </c>
      <c r="C3" s="6" t="s">
        <v>404</v>
      </c>
      <c r="D3" s="6" t="s">
        <v>40</v>
      </c>
      <c r="E3" s="6" t="s">
        <v>103</v>
      </c>
      <c r="F3" s="6" t="s">
        <v>44</v>
      </c>
      <c r="G3" s="6" t="s">
        <v>91</v>
      </c>
      <c r="H3" s="7" t="s">
        <v>91</v>
      </c>
    </row>
    <row r="4" spans="1:8">
      <c r="A4" s="4" t="s">
        <v>35</v>
      </c>
      <c r="B4" s="4" t="s">
        <v>514</v>
      </c>
      <c r="C4" s="4" t="s">
        <v>515</v>
      </c>
      <c r="D4" s="4" t="s">
        <v>36</v>
      </c>
      <c r="E4" s="4" t="s">
        <v>103</v>
      </c>
      <c r="F4" s="4" t="s">
        <v>44</v>
      </c>
      <c r="G4" s="4" t="s">
        <v>91</v>
      </c>
      <c r="H4" s="5" t="s">
        <v>91</v>
      </c>
    </row>
    <row r="5" spans="1:8">
      <c r="A5" s="6" t="s">
        <v>27</v>
      </c>
      <c r="B5" s="6" t="s">
        <v>507</v>
      </c>
      <c r="C5" s="6" t="s">
        <v>508</v>
      </c>
      <c r="D5" s="6" t="s">
        <v>28</v>
      </c>
      <c r="E5" s="6" t="s">
        <v>103</v>
      </c>
      <c r="F5" s="6" t="s">
        <v>45</v>
      </c>
      <c r="G5" s="6" t="s">
        <v>91</v>
      </c>
      <c r="H5" s="7" t="s">
        <v>91</v>
      </c>
    </row>
  </sheetData>
  <phoneticPr fontId="4"/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6451-DAC0-4447-82A7-717A96F42079}">
  <dimension ref="A1:O31"/>
  <sheetViews>
    <sheetView workbookViewId="0">
      <selection activeCell="I9" sqref="I9"/>
    </sheetView>
  </sheetViews>
  <sheetFormatPr defaultRowHeight="14.5"/>
  <cols>
    <col min="1" max="1" width="11" bestFit="1" customWidth="1"/>
    <col min="2" max="2" width="10.453125" customWidth="1"/>
    <col min="3" max="3" width="13.36328125" bestFit="1" customWidth="1"/>
    <col min="4" max="5" width="7.7265625" bestFit="1" customWidth="1"/>
  </cols>
  <sheetData>
    <row r="1" spans="1:15" ht="15" thickBot="1">
      <c r="A1" s="20" t="s">
        <v>16</v>
      </c>
      <c r="B1" s="20" t="s">
        <v>541</v>
      </c>
      <c r="C1" s="20" t="s">
        <v>542</v>
      </c>
      <c r="D1" s="20" t="s">
        <v>543</v>
      </c>
      <c r="E1" s="20" t="s">
        <v>544</v>
      </c>
      <c r="G1" s="20"/>
      <c r="H1" s="20"/>
      <c r="I1" s="20"/>
      <c r="L1" s="20"/>
      <c r="M1" s="20"/>
      <c r="N1" s="20"/>
      <c r="O1" s="20"/>
    </row>
    <row r="2" spans="1:15" ht="15" thickBot="1">
      <c r="A2" s="45">
        <v>45991</v>
      </c>
      <c r="B2" s="46">
        <v>280000</v>
      </c>
      <c r="C2" s="47">
        <v>455</v>
      </c>
      <c r="D2" s="48">
        <v>1.32E-2</v>
      </c>
      <c r="E2" s="49">
        <v>46667</v>
      </c>
      <c r="H2" s="21"/>
      <c r="J2" s="21"/>
    </row>
    <row r="3" spans="1:15" ht="15" thickBot="1">
      <c r="A3" s="50">
        <v>45990</v>
      </c>
      <c r="B3" s="39">
        <v>115000</v>
      </c>
      <c r="C3" s="40">
        <v>564</v>
      </c>
      <c r="D3" s="41">
        <v>8.8999999999999999E-3</v>
      </c>
      <c r="E3" s="51">
        <v>23000</v>
      </c>
      <c r="H3" s="21"/>
      <c r="L3" s="21"/>
    </row>
    <row r="4" spans="1:15" ht="15" thickBot="1">
      <c r="A4" s="52">
        <v>45989</v>
      </c>
      <c r="B4" s="39">
        <v>125000</v>
      </c>
      <c r="C4" s="40">
        <v>305</v>
      </c>
      <c r="D4" s="41">
        <v>6.6E-3</v>
      </c>
      <c r="E4" s="51">
        <v>62500</v>
      </c>
    </row>
    <row r="5" spans="1:15" ht="15" thickBot="1">
      <c r="A5" s="52">
        <v>45988</v>
      </c>
      <c r="B5" s="39">
        <v>20000</v>
      </c>
      <c r="C5" s="40">
        <v>510</v>
      </c>
      <c r="D5" s="41">
        <v>2E-3</v>
      </c>
      <c r="E5" s="51">
        <v>20000</v>
      </c>
      <c r="H5" s="21"/>
      <c r="L5" s="21"/>
    </row>
    <row r="6" spans="1:15" ht="15" thickBot="1">
      <c r="A6" s="52">
        <v>45987</v>
      </c>
      <c r="B6" s="39">
        <v>165000</v>
      </c>
      <c r="C6" s="40">
        <v>168</v>
      </c>
      <c r="D6" s="41">
        <v>3.5700000000000003E-2</v>
      </c>
      <c r="E6" s="51">
        <v>27500</v>
      </c>
      <c r="H6" s="21"/>
      <c r="L6" s="21"/>
    </row>
    <row r="7" spans="1:15" ht="15" thickBot="1">
      <c r="A7" s="52">
        <v>45986</v>
      </c>
      <c r="B7" s="39">
        <v>35000</v>
      </c>
      <c r="C7" s="40">
        <v>98</v>
      </c>
      <c r="D7" s="41">
        <v>2.0400000000000001E-2</v>
      </c>
      <c r="E7" s="51">
        <v>17500</v>
      </c>
      <c r="H7" s="21"/>
      <c r="L7" s="21"/>
    </row>
    <row r="8" spans="1:15" ht="15" thickBot="1">
      <c r="A8" s="52">
        <v>45985</v>
      </c>
      <c r="B8" s="39">
        <v>130000</v>
      </c>
      <c r="C8" s="40">
        <v>91</v>
      </c>
      <c r="D8" s="41">
        <v>3.3000000000000002E-2</v>
      </c>
      <c r="E8" s="51">
        <v>43333</v>
      </c>
      <c r="H8" s="21"/>
      <c r="L8" s="21"/>
    </row>
    <row r="9" spans="1:15" ht="15" thickBot="1">
      <c r="A9" s="53">
        <v>45984</v>
      </c>
      <c r="B9" s="39">
        <v>335000</v>
      </c>
      <c r="C9" s="40">
        <v>98</v>
      </c>
      <c r="D9" s="41">
        <v>9.1800000000000007E-2</v>
      </c>
      <c r="E9" s="51">
        <v>37222</v>
      </c>
      <c r="H9" s="21"/>
      <c r="J9" s="21"/>
      <c r="L9" s="21"/>
      <c r="N9" s="21"/>
    </row>
    <row r="10" spans="1:15" ht="15" thickBot="1">
      <c r="A10" s="50">
        <v>45983</v>
      </c>
      <c r="B10" s="39">
        <v>80000</v>
      </c>
      <c r="C10" s="40">
        <v>107</v>
      </c>
      <c r="D10" s="41">
        <v>3.7400000000000003E-2</v>
      </c>
      <c r="E10" s="51">
        <v>20000</v>
      </c>
      <c r="H10" s="21"/>
      <c r="J10" s="21"/>
      <c r="L10" s="21"/>
    </row>
    <row r="11" spans="1:15" ht="15" thickBot="1">
      <c r="A11" s="52">
        <v>45982</v>
      </c>
      <c r="B11" s="39">
        <v>50000</v>
      </c>
      <c r="C11" s="40">
        <v>82</v>
      </c>
      <c r="D11" s="41">
        <v>1.2200000000000001E-2</v>
      </c>
      <c r="E11" s="51">
        <v>50000</v>
      </c>
      <c r="H11" s="21"/>
      <c r="N11" s="21"/>
    </row>
    <row r="12" spans="1:15" ht="15" thickBot="1">
      <c r="A12" s="52">
        <v>45981</v>
      </c>
      <c r="B12" s="39">
        <v>55000</v>
      </c>
      <c r="C12" s="40">
        <v>88</v>
      </c>
      <c r="D12" s="41">
        <v>2.2700000000000001E-2</v>
      </c>
      <c r="E12" s="51">
        <v>27500</v>
      </c>
      <c r="H12" s="21"/>
      <c r="L12" s="21"/>
    </row>
    <row r="13" spans="1:15" ht="15" thickBot="1">
      <c r="A13" s="52">
        <v>45980</v>
      </c>
      <c r="B13" s="39">
        <v>75000</v>
      </c>
      <c r="C13" s="40">
        <v>98</v>
      </c>
      <c r="D13" s="41">
        <v>3.0599999999999999E-2</v>
      </c>
      <c r="E13" s="51">
        <v>25000</v>
      </c>
      <c r="H13" s="21"/>
      <c r="L13" s="21"/>
      <c r="N13" s="21"/>
    </row>
    <row r="14" spans="1:15" ht="15" thickBot="1">
      <c r="A14" s="52">
        <v>45979</v>
      </c>
      <c r="B14" s="40">
        <v>0</v>
      </c>
      <c r="C14" s="40">
        <v>85</v>
      </c>
      <c r="D14" s="41">
        <v>0</v>
      </c>
      <c r="E14" s="54">
        <v>0</v>
      </c>
      <c r="H14" s="21"/>
      <c r="J14" s="21"/>
    </row>
    <row r="15" spans="1:15" ht="15" thickBot="1">
      <c r="A15" s="52">
        <v>45978</v>
      </c>
      <c r="B15" s="39">
        <v>205000</v>
      </c>
      <c r="C15" s="40">
        <v>103</v>
      </c>
      <c r="D15" s="41">
        <v>3.8800000000000001E-2</v>
      </c>
      <c r="E15" s="51">
        <v>51250</v>
      </c>
      <c r="H15" s="21"/>
      <c r="J15" s="21"/>
      <c r="L15" s="21"/>
      <c r="N15" s="21"/>
    </row>
    <row r="16" spans="1:15" ht="15" thickBot="1">
      <c r="A16" s="53">
        <v>45977</v>
      </c>
      <c r="B16" s="39">
        <v>80000</v>
      </c>
      <c r="C16" s="40">
        <v>93</v>
      </c>
      <c r="D16" s="41">
        <v>3.2300000000000002E-2</v>
      </c>
      <c r="E16" s="51">
        <v>26667</v>
      </c>
      <c r="H16" s="21"/>
      <c r="L16" s="21"/>
    </row>
    <row r="17" spans="1:14" ht="15" thickBot="1">
      <c r="A17" s="50">
        <v>45976</v>
      </c>
      <c r="B17" s="39">
        <v>230000</v>
      </c>
      <c r="C17" s="40">
        <v>98</v>
      </c>
      <c r="D17" s="41">
        <v>8.1600000000000006E-2</v>
      </c>
      <c r="E17" s="51">
        <v>28750</v>
      </c>
      <c r="H17" s="21"/>
      <c r="J17" s="21"/>
      <c r="L17" s="21"/>
    </row>
    <row r="18" spans="1:14" ht="15" thickBot="1">
      <c r="A18" s="52">
        <v>45975</v>
      </c>
      <c r="B18" s="39">
        <v>140000</v>
      </c>
      <c r="C18" s="40">
        <v>67</v>
      </c>
      <c r="D18" s="41">
        <v>2.9899999999999999E-2</v>
      </c>
      <c r="E18" s="51">
        <v>70000</v>
      </c>
    </row>
    <row r="19" spans="1:14" ht="15" thickBot="1">
      <c r="A19" s="52">
        <v>45974</v>
      </c>
      <c r="B19" s="39">
        <v>40000</v>
      </c>
      <c r="C19" s="40">
        <v>72</v>
      </c>
      <c r="D19" s="41">
        <v>2.7799999999999998E-2</v>
      </c>
      <c r="E19" s="51">
        <v>20000</v>
      </c>
      <c r="H19" s="21"/>
      <c r="J19" s="21"/>
      <c r="L19" s="21"/>
      <c r="N19" s="21"/>
    </row>
    <row r="20" spans="1:14" ht="15" thickBot="1">
      <c r="A20" s="52">
        <v>45973</v>
      </c>
      <c r="B20" s="39">
        <v>45000</v>
      </c>
      <c r="C20" s="40">
        <v>69</v>
      </c>
      <c r="D20" s="41">
        <v>1.4500000000000001E-2</v>
      </c>
      <c r="E20" s="51">
        <v>45000</v>
      </c>
      <c r="H20" s="21"/>
      <c r="L20" s="21"/>
    </row>
    <row r="21" spans="1:14" ht="15" thickBot="1">
      <c r="A21" s="52">
        <v>45972</v>
      </c>
      <c r="B21" s="39">
        <v>35000</v>
      </c>
      <c r="C21" s="40">
        <v>61</v>
      </c>
      <c r="D21" s="41">
        <v>1.6400000000000001E-2</v>
      </c>
      <c r="E21" s="51">
        <v>35000</v>
      </c>
      <c r="H21" s="21"/>
      <c r="J21" s="21"/>
    </row>
    <row r="22" spans="1:14" ht="15" thickBot="1">
      <c r="A22" s="52">
        <v>45971</v>
      </c>
      <c r="B22" s="39">
        <v>105000</v>
      </c>
      <c r="C22" s="40">
        <v>86</v>
      </c>
      <c r="D22" s="41">
        <v>4.65E-2</v>
      </c>
      <c r="E22" s="51">
        <v>26250</v>
      </c>
      <c r="H22" s="21"/>
      <c r="L22" s="21"/>
    </row>
    <row r="23" spans="1:14" ht="15" thickBot="1">
      <c r="A23" s="53">
        <v>45970</v>
      </c>
      <c r="B23" s="39">
        <v>110000</v>
      </c>
      <c r="C23" s="40">
        <v>89</v>
      </c>
      <c r="D23" s="41">
        <v>6.7400000000000002E-2</v>
      </c>
      <c r="E23" s="51">
        <v>18333</v>
      </c>
      <c r="H23" s="21"/>
      <c r="J23" s="21"/>
      <c r="L23" s="21"/>
      <c r="N23" s="21"/>
    </row>
    <row r="24" spans="1:14" ht="15" thickBot="1">
      <c r="A24" s="50">
        <v>45969</v>
      </c>
      <c r="B24" s="39">
        <v>130000</v>
      </c>
      <c r="C24" s="40">
        <v>74</v>
      </c>
      <c r="D24" s="41">
        <v>6.7599999999999993E-2</v>
      </c>
      <c r="E24" s="51">
        <v>26000</v>
      </c>
      <c r="H24" s="21"/>
      <c r="J24" s="21"/>
      <c r="L24" s="21"/>
    </row>
    <row r="25" spans="1:14" ht="15" thickBot="1">
      <c r="A25" s="52">
        <v>45968</v>
      </c>
      <c r="B25" s="39">
        <v>75000</v>
      </c>
      <c r="C25" s="40">
        <v>53</v>
      </c>
      <c r="D25" s="41">
        <v>5.6599999999999998E-2</v>
      </c>
      <c r="E25" s="51">
        <v>25000</v>
      </c>
      <c r="H25" s="21"/>
      <c r="L25" s="21"/>
    </row>
    <row r="26" spans="1:14" ht="15" thickBot="1">
      <c r="A26" s="52">
        <v>45967</v>
      </c>
      <c r="B26" s="39">
        <v>45000</v>
      </c>
      <c r="C26" s="40">
        <v>86</v>
      </c>
      <c r="D26" s="41">
        <v>2.3300000000000001E-2</v>
      </c>
      <c r="E26" s="51">
        <v>22500</v>
      </c>
      <c r="H26" s="21"/>
      <c r="L26" s="21"/>
    </row>
    <row r="27" spans="1:14" ht="15" thickBot="1">
      <c r="A27" s="52">
        <v>45966</v>
      </c>
      <c r="B27" s="39">
        <v>125000</v>
      </c>
      <c r="C27" s="40">
        <v>73</v>
      </c>
      <c r="D27" s="41">
        <v>6.8500000000000005E-2</v>
      </c>
      <c r="E27" s="51">
        <v>25000</v>
      </c>
      <c r="H27" s="21"/>
      <c r="L27" s="21"/>
    </row>
    <row r="28" spans="1:14" ht="15" thickBot="1">
      <c r="A28" s="52">
        <v>45965</v>
      </c>
      <c r="B28" s="40">
        <v>0</v>
      </c>
      <c r="C28" s="40">
        <v>66</v>
      </c>
      <c r="D28" s="41">
        <v>0</v>
      </c>
      <c r="E28" s="54">
        <v>0</v>
      </c>
      <c r="H28" s="21"/>
      <c r="J28" s="21"/>
      <c r="L28" s="21"/>
    </row>
    <row r="29" spans="1:14" ht="15" thickBot="1">
      <c r="A29" s="52">
        <v>45964</v>
      </c>
      <c r="B29" s="39">
        <v>20000</v>
      </c>
      <c r="C29" s="40">
        <v>83</v>
      </c>
      <c r="D29" s="41">
        <v>1.2E-2</v>
      </c>
      <c r="E29" s="51">
        <v>20000</v>
      </c>
      <c r="H29" s="21"/>
      <c r="J29" s="21"/>
      <c r="L29" s="21"/>
    </row>
    <row r="30" spans="1:14" ht="15" thickBot="1">
      <c r="A30" s="53">
        <v>45963</v>
      </c>
      <c r="B30" s="39">
        <v>15000</v>
      </c>
      <c r="C30" s="40">
        <v>65</v>
      </c>
      <c r="D30" s="41">
        <v>1.54E-2</v>
      </c>
      <c r="E30" s="51">
        <v>15000</v>
      </c>
      <c r="H30" s="21"/>
      <c r="J30" s="21"/>
      <c r="L30" s="21"/>
      <c r="N30" s="21"/>
    </row>
    <row r="31" spans="1:14" ht="15" thickBot="1">
      <c r="A31" s="55">
        <v>45962</v>
      </c>
      <c r="B31" s="42">
        <v>285000</v>
      </c>
      <c r="C31" s="43">
        <v>76</v>
      </c>
      <c r="D31" s="44">
        <v>9.2100000000000001E-2</v>
      </c>
      <c r="E31" s="56">
        <v>40714</v>
      </c>
      <c r="G31" s="20"/>
      <c r="H31" s="21"/>
      <c r="J31" s="21"/>
      <c r="L31" s="21"/>
      <c r="N31" s="21"/>
    </row>
  </sheetData>
  <phoneticPr fontId="4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0F91-37B4-409E-B4D3-A998733B90E7}">
  <dimension ref="A1:G364"/>
  <sheetViews>
    <sheetView topLeftCell="A15" workbookViewId="0">
      <selection activeCell="A15" sqref="A15"/>
    </sheetView>
  </sheetViews>
  <sheetFormatPr defaultRowHeight="14.5"/>
  <cols>
    <col min="1" max="1" width="98.26953125" customWidth="1"/>
    <col min="2" max="2" width="15.36328125" bestFit="1" customWidth="1"/>
    <col min="3" max="5" width="10.453125" bestFit="1" customWidth="1"/>
    <col min="6" max="6" width="8.26953125" bestFit="1" customWidth="1"/>
    <col min="7" max="7" width="10.453125" bestFit="1" customWidth="1"/>
  </cols>
  <sheetData>
    <row r="1" spans="1:7">
      <c r="A1" s="22" t="s">
        <v>20</v>
      </c>
      <c r="B1" s="6" t="s">
        <v>19</v>
      </c>
      <c r="C1" s="6" t="s">
        <v>545</v>
      </c>
      <c r="D1" s="6" t="s">
        <v>546</v>
      </c>
      <c r="E1" s="6" t="s">
        <v>547</v>
      </c>
      <c r="F1" s="6" t="s">
        <v>541</v>
      </c>
      <c r="G1" s="7" t="s">
        <v>548</v>
      </c>
    </row>
    <row r="2" spans="1:7">
      <c r="A2" s="23" t="s">
        <v>513</v>
      </c>
      <c r="B2" s="4" t="s">
        <v>33</v>
      </c>
      <c r="C2" s="4" t="s">
        <v>33</v>
      </c>
      <c r="D2" s="4" t="s">
        <v>394</v>
      </c>
      <c r="E2" s="4" t="s">
        <v>549</v>
      </c>
      <c r="F2" s="4" t="s">
        <v>550</v>
      </c>
      <c r="G2" s="5" t="s">
        <v>551</v>
      </c>
    </row>
    <row r="3" spans="1:7">
      <c r="A3" s="22" t="s">
        <v>518</v>
      </c>
      <c r="B3" s="6" t="s">
        <v>39</v>
      </c>
      <c r="C3" s="6" t="s">
        <v>39</v>
      </c>
      <c r="D3" s="6" t="s">
        <v>404</v>
      </c>
      <c r="E3" s="6" t="s">
        <v>552</v>
      </c>
      <c r="F3" s="6" t="s">
        <v>553</v>
      </c>
      <c r="G3" s="7" t="s">
        <v>554</v>
      </c>
    </row>
    <row r="4" spans="1:7">
      <c r="A4" s="23" t="s">
        <v>516</v>
      </c>
      <c r="B4" s="4" t="s">
        <v>37</v>
      </c>
      <c r="C4" s="4" t="s">
        <v>37</v>
      </c>
      <c r="D4" s="4" t="s">
        <v>517</v>
      </c>
      <c r="E4" s="4" t="s">
        <v>555</v>
      </c>
      <c r="F4" s="4" t="s">
        <v>556</v>
      </c>
      <c r="G4" s="5" t="s">
        <v>557</v>
      </c>
    </row>
    <row r="5" spans="1:7">
      <c r="A5" s="22" t="s">
        <v>514</v>
      </c>
      <c r="B5" s="6" t="s">
        <v>35</v>
      </c>
      <c r="C5" s="6" t="s">
        <v>35</v>
      </c>
      <c r="D5" s="6" t="s">
        <v>515</v>
      </c>
      <c r="E5" s="6" t="s">
        <v>558</v>
      </c>
      <c r="F5" s="6" t="s">
        <v>559</v>
      </c>
      <c r="G5" s="7" t="s">
        <v>560</v>
      </c>
    </row>
    <row r="6" spans="1:7">
      <c r="A6" s="23" t="s">
        <v>561</v>
      </c>
      <c r="B6" s="4" t="s">
        <v>562</v>
      </c>
      <c r="C6" s="4" t="s">
        <v>562</v>
      </c>
      <c r="D6" s="4" t="s">
        <v>406</v>
      </c>
      <c r="E6" s="4" t="s">
        <v>563</v>
      </c>
      <c r="F6" s="4" t="s">
        <v>564</v>
      </c>
      <c r="G6" s="5" t="s">
        <v>421</v>
      </c>
    </row>
    <row r="7" spans="1:7">
      <c r="A7" s="22" t="s">
        <v>565</v>
      </c>
      <c r="B7" s="6" t="s">
        <v>566</v>
      </c>
      <c r="C7" s="6" t="s">
        <v>566</v>
      </c>
      <c r="D7" s="6" t="s">
        <v>567</v>
      </c>
      <c r="E7" s="6" t="s">
        <v>103</v>
      </c>
      <c r="F7" s="6" t="s">
        <v>568</v>
      </c>
      <c r="G7" s="7" t="s">
        <v>103</v>
      </c>
    </row>
    <row r="8" spans="1:7">
      <c r="A8" s="23" t="s">
        <v>507</v>
      </c>
      <c r="B8" s="4" t="s">
        <v>569</v>
      </c>
      <c r="C8" s="4" t="s">
        <v>569</v>
      </c>
      <c r="D8" s="4" t="s">
        <v>517</v>
      </c>
      <c r="E8" s="4" t="s">
        <v>570</v>
      </c>
      <c r="F8" s="4" t="s">
        <v>571</v>
      </c>
      <c r="G8" s="5" t="s">
        <v>570</v>
      </c>
    </row>
    <row r="9" spans="1:7">
      <c r="A9" s="22" t="s">
        <v>572</v>
      </c>
      <c r="B9" s="6" t="s">
        <v>145</v>
      </c>
      <c r="C9" s="6" t="s">
        <v>145</v>
      </c>
      <c r="D9" s="6" t="s">
        <v>515</v>
      </c>
      <c r="E9" s="6" t="s">
        <v>573</v>
      </c>
      <c r="F9" s="6" t="s">
        <v>574</v>
      </c>
      <c r="G9" s="7" t="s">
        <v>575</v>
      </c>
    </row>
    <row r="10" spans="1:7">
      <c r="A10" s="23" t="s">
        <v>519</v>
      </c>
      <c r="B10" s="4" t="s">
        <v>41</v>
      </c>
      <c r="C10" s="4" t="s">
        <v>41</v>
      </c>
      <c r="D10" s="4" t="s">
        <v>520</v>
      </c>
      <c r="E10" s="4" t="s">
        <v>576</v>
      </c>
      <c r="F10" s="4" t="s">
        <v>577</v>
      </c>
      <c r="G10" s="5" t="s">
        <v>578</v>
      </c>
    </row>
    <row r="11" spans="1:7">
      <c r="A11" s="22" t="s">
        <v>579</v>
      </c>
      <c r="B11" s="6" t="s">
        <v>580</v>
      </c>
      <c r="C11" s="6" t="s">
        <v>580</v>
      </c>
      <c r="D11" s="6" t="s">
        <v>581</v>
      </c>
      <c r="E11" s="6" t="s">
        <v>98</v>
      </c>
      <c r="F11" s="6" t="s">
        <v>582</v>
      </c>
      <c r="G11" s="7" t="s">
        <v>98</v>
      </c>
    </row>
    <row r="12" spans="1:7">
      <c r="A12" s="23" t="s">
        <v>511</v>
      </c>
      <c r="B12" s="4" t="s">
        <v>31</v>
      </c>
      <c r="C12" s="4" t="s">
        <v>31</v>
      </c>
      <c r="D12" s="4" t="s">
        <v>512</v>
      </c>
      <c r="E12" s="4" t="s">
        <v>116</v>
      </c>
      <c r="F12" s="4" t="s">
        <v>583</v>
      </c>
      <c r="G12" s="5" t="s">
        <v>116</v>
      </c>
    </row>
    <row r="13" spans="1:7">
      <c r="A13" s="22" t="s">
        <v>584</v>
      </c>
      <c r="B13" s="6" t="s">
        <v>585</v>
      </c>
      <c r="C13" s="6" t="s">
        <v>585</v>
      </c>
      <c r="D13" s="6" t="s">
        <v>406</v>
      </c>
      <c r="E13" s="6" t="s">
        <v>586</v>
      </c>
      <c r="F13" s="6" t="s">
        <v>587</v>
      </c>
      <c r="G13" s="7" t="s">
        <v>586</v>
      </c>
    </row>
    <row r="14" spans="1:7">
      <c r="A14" s="23" t="s">
        <v>505</v>
      </c>
      <c r="B14" s="4" t="s">
        <v>25</v>
      </c>
      <c r="C14" s="4" t="s">
        <v>25</v>
      </c>
      <c r="D14" s="4" t="s">
        <v>506</v>
      </c>
      <c r="E14" s="4" t="s">
        <v>98</v>
      </c>
      <c r="F14" s="4" t="s">
        <v>588</v>
      </c>
      <c r="G14" s="5" t="s">
        <v>98</v>
      </c>
    </row>
    <row r="15" spans="1:7">
      <c r="A15" s="22" t="s">
        <v>589</v>
      </c>
      <c r="B15" s="6" t="s">
        <v>590</v>
      </c>
      <c r="C15" s="6" t="s">
        <v>590</v>
      </c>
      <c r="D15" s="6" t="s">
        <v>591</v>
      </c>
      <c r="E15" s="6" t="s">
        <v>592</v>
      </c>
      <c r="F15" s="6" t="s">
        <v>593</v>
      </c>
      <c r="G15" s="7" t="s">
        <v>592</v>
      </c>
    </row>
    <row r="16" spans="1:7">
      <c r="A16" s="23" t="s">
        <v>594</v>
      </c>
      <c r="B16" s="4" t="s">
        <v>184</v>
      </c>
      <c r="C16" s="4" t="s">
        <v>184</v>
      </c>
      <c r="D16" s="4" t="s">
        <v>510</v>
      </c>
      <c r="E16" s="4" t="s">
        <v>575</v>
      </c>
      <c r="F16" s="4" t="s">
        <v>595</v>
      </c>
      <c r="G16" s="5" t="s">
        <v>575</v>
      </c>
    </row>
    <row r="17" spans="1:7">
      <c r="A17" s="22" t="s">
        <v>596</v>
      </c>
      <c r="B17" s="6" t="s">
        <v>142</v>
      </c>
      <c r="C17" s="6" t="s">
        <v>142</v>
      </c>
      <c r="D17" s="6" t="s">
        <v>597</v>
      </c>
      <c r="E17" s="6" t="s">
        <v>103</v>
      </c>
      <c r="F17" s="6" t="s">
        <v>598</v>
      </c>
      <c r="G17" s="7" t="s">
        <v>103</v>
      </c>
    </row>
    <row r="18" spans="1:7">
      <c r="A18" s="23" t="s">
        <v>599</v>
      </c>
      <c r="B18" s="4" t="s">
        <v>600</v>
      </c>
      <c r="C18" s="4" t="s">
        <v>600</v>
      </c>
      <c r="D18" s="4" t="s">
        <v>510</v>
      </c>
      <c r="E18" s="4" t="s">
        <v>601</v>
      </c>
      <c r="F18" s="4" t="s">
        <v>602</v>
      </c>
      <c r="G18" s="5" t="s">
        <v>601</v>
      </c>
    </row>
    <row r="19" spans="1:7">
      <c r="A19" s="22" t="s">
        <v>603</v>
      </c>
      <c r="B19" s="6" t="s">
        <v>604</v>
      </c>
      <c r="C19" s="6" t="s">
        <v>604</v>
      </c>
      <c r="D19" s="6" t="s">
        <v>605</v>
      </c>
      <c r="E19" s="6" t="s">
        <v>88</v>
      </c>
      <c r="F19" s="6" t="s">
        <v>606</v>
      </c>
      <c r="G19" s="7" t="s">
        <v>88</v>
      </c>
    </row>
    <row r="20" spans="1:7">
      <c r="A20" s="23" t="s">
        <v>607</v>
      </c>
      <c r="B20" s="4" t="s">
        <v>220</v>
      </c>
      <c r="C20" s="4" t="s">
        <v>220</v>
      </c>
      <c r="D20" s="4" t="s">
        <v>510</v>
      </c>
      <c r="E20" s="4" t="s">
        <v>608</v>
      </c>
      <c r="F20" s="4" t="s">
        <v>609</v>
      </c>
      <c r="G20" s="5" t="s">
        <v>608</v>
      </c>
    </row>
    <row r="21" spans="1:7">
      <c r="A21" s="22" t="s">
        <v>610</v>
      </c>
      <c r="B21" s="6" t="s">
        <v>611</v>
      </c>
      <c r="C21" s="6" t="s">
        <v>611</v>
      </c>
      <c r="D21" s="6" t="s">
        <v>612</v>
      </c>
      <c r="E21" s="6" t="s">
        <v>84</v>
      </c>
      <c r="F21" s="6" t="s">
        <v>613</v>
      </c>
      <c r="G21" s="7" t="s">
        <v>84</v>
      </c>
    </row>
    <row r="22" spans="1:7">
      <c r="A22" s="23" t="s">
        <v>614</v>
      </c>
      <c r="B22" s="4" t="s">
        <v>615</v>
      </c>
      <c r="C22" s="4" t="s">
        <v>615</v>
      </c>
      <c r="D22" s="4" t="s">
        <v>404</v>
      </c>
      <c r="E22" s="4" t="s">
        <v>616</v>
      </c>
      <c r="F22" s="4" t="s">
        <v>617</v>
      </c>
      <c r="G22" s="5" t="s">
        <v>616</v>
      </c>
    </row>
    <row r="23" spans="1:7">
      <c r="A23" s="22" t="s">
        <v>509</v>
      </c>
      <c r="B23" s="6" t="s">
        <v>29</v>
      </c>
      <c r="C23" s="6" t="s">
        <v>29</v>
      </c>
      <c r="D23" s="6" t="s">
        <v>510</v>
      </c>
      <c r="E23" s="6" t="s">
        <v>618</v>
      </c>
      <c r="F23" s="6" t="s">
        <v>619</v>
      </c>
      <c r="G23" s="7" t="s">
        <v>618</v>
      </c>
    </row>
    <row r="24" spans="1:7">
      <c r="A24" s="23" t="s">
        <v>507</v>
      </c>
      <c r="B24" s="4" t="s">
        <v>27</v>
      </c>
      <c r="C24" s="4" t="s">
        <v>27</v>
      </c>
      <c r="D24" s="4" t="s">
        <v>508</v>
      </c>
      <c r="E24" s="4" t="s">
        <v>75</v>
      </c>
      <c r="F24" s="4" t="s">
        <v>619</v>
      </c>
      <c r="G24" s="5" t="s">
        <v>75</v>
      </c>
    </row>
    <row r="25" spans="1:7">
      <c r="A25" s="22" t="s">
        <v>620</v>
      </c>
      <c r="B25" s="6" t="s">
        <v>296</v>
      </c>
      <c r="C25" s="6" t="s">
        <v>296</v>
      </c>
      <c r="D25" s="6" t="s">
        <v>517</v>
      </c>
      <c r="E25" s="6" t="s">
        <v>475</v>
      </c>
      <c r="F25" s="6" t="s">
        <v>621</v>
      </c>
      <c r="G25" s="7" t="s">
        <v>475</v>
      </c>
    </row>
    <row r="26" spans="1:7">
      <c r="A26" s="23" t="s">
        <v>622</v>
      </c>
      <c r="B26" s="4" t="s">
        <v>623</v>
      </c>
      <c r="C26" s="4" t="s">
        <v>623</v>
      </c>
      <c r="D26" s="4" t="s">
        <v>512</v>
      </c>
      <c r="E26" s="4" t="s">
        <v>86</v>
      </c>
      <c r="F26" s="4" t="s">
        <v>624</v>
      </c>
      <c r="G26" s="5" t="s">
        <v>86</v>
      </c>
    </row>
    <row r="27" spans="1:7">
      <c r="A27" s="22" t="s">
        <v>625</v>
      </c>
      <c r="B27" s="6" t="s">
        <v>626</v>
      </c>
      <c r="C27" s="6" t="s">
        <v>626</v>
      </c>
      <c r="D27" s="6" t="s">
        <v>627</v>
      </c>
      <c r="E27" s="6" t="s">
        <v>115</v>
      </c>
      <c r="F27" s="6" t="s">
        <v>624</v>
      </c>
      <c r="G27" s="7" t="s">
        <v>115</v>
      </c>
    </row>
    <row r="28" spans="1:7">
      <c r="A28" s="23" t="s">
        <v>503</v>
      </c>
      <c r="B28" s="4" t="s">
        <v>22</v>
      </c>
      <c r="C28" s="4" t="s">
        <v>22</v>
      </c>
      <c r="D28" s="4" t="s">
        <v>504</v>
      </c>
      <c r="E28" s="4" t="s">
        <v>79</v>
      </c>
      <c r="F28" s="4" t="s">
        <v>628</v>
      </c>
      <c r="G28" s="5" t="s">
        <v>79</v>
      </c>
    </row>
    <row r="29" spans="1:7">
      <c r="A29" s="22" t="s">
        <v>629</v>
      </c>
      <c r="B29" s="6" t="s">
        <v>236</v>
      </c>
      <c r="C29" s="6" t="s">
        <v>236</v>
      </c>
      <c r="D29" s="6" t="s">
        <v>394</v>
      </c>
      <c r="E29" s="6" t="s">
        <v>128</v>
      </c>
      <c r="F29" s="6" t="s">
        <v>630</v>
      </c>
      <c r="G29" s="7" t="s">
        <v>128</v>
      </c>
    </row>
    <row r="30" spans="1:7">
      <c r="A30" s="23" t="s">
        <v>631</v>
      </c>
      <c r="B30" s="4" t="s">
        <v>250</v>
      </c>
      <c r="C30" s="4" t="s">
        <v>250</v>
      </c>
      <c r="D30" s="4" t="s">
        <v>632</v>
      </c>
      <c r="E30" s="4" t="s">
        <v>88</v>
      </c>
      <c r="F30" s="4" t="s">
        <v>633</v>
      </c>
      <c r="G30" s="5" t="s">
        <v>88</v>
      </c>
    </row>
    <row r="31" spans="1:7">
      <c r="A31" s="22" t="s">
        <v>634</v>
      </c>
      <c r="B31" s="6" t="s">
        <v>635</v>
      </c>
      <c r="C31" s="6" t="s">
        <v>635</v>
      </c>
      <c r="D31" s="6" t="s">
        <v>636</v>
      </c>
      <c r="E31" s="6" t="s">
        <v>98</v>
      </c>
      <c r="F31" s="6" t="s">
        <v>633</v>
      </c>
      <c r="G31" s="7" t="s">
        <v>98</v>
      </c>
    </row>
    <row r="32" spans="1:7">
      <c r="A32" s="23" t="s">
        <v>637</v>
      </c>
      <c r="B32" s="4" t="s">
        <v>638</v>
      </c>
      <c r="C32" s="4" t="s">
        <v>638</v>
      </c>
      <c r="D32" s="4" t="s">
        <v>567</v>
      </c>
      <c r="E32" s="4" t="s">
        <v>77</v>
      </c>
      <c r="F32" s="4" t="s">
        <v>639</v>
      </c>
      <c r="G32" s="5" t="s">
        <v>77</v>
      </c>
    </row>
    <row r="33" spans="1:7">
      <c r="A33" s="22" t="s">
        <v>640</v>
      </c>
      <c r="B33" s="6" t="s">
        <v>641</v>
      </c>
      <c r="C33" s="6" t="s">
        <v>641</v>
      </c>
      <c r="D33" s="6" t="s">
        <v>567</v>
      </c>
      <c r="E33" s="6" t="s">
        <v>77</v>
      </c>
      <c r="F33" s="6" t="s">
        <v>639</v>
      </c>
      <c r="G33" s="7" t="s">
        <v>77</v>
      </c>
    </row>
    <row r="34" spans="1:7">
      <c r="A34" s="23" t="s">
        <v>642</v>
      </c>
      <c r="B34" s="4" t="s">
        <v>643</v>
      </c>
      <c r="C34" s="4" t="s">
        <v>643</v>
      </c>
      <c r="D34" s="4" t="s">
        <v>517</v>
      </c>
      <c r="E34" s="4" t="s">
        <v>155</v>
      </c>
      <c r="F34" s="4" t="s">
        <v>639</v>
      </c>
      <c r="G34" s="5" t="s">
        <v>155</v>
      </c>
    </row>
    <row r="35" spans="1:7">
      <c r="A35" s="22" t="s">
        <v>644</v>
      </c>
      <c r="B35" s="6" t="s">
        <v>300</v>
      </c>
      <c r="C35" s="6" t="s">
        <v>300</v>
      </c>
      <c r="D35" s="6" t="s">
        <v>591</v>
      </c>
      <c r="E35" s="6" t="s">
        <v>645</v>
      </c>
      <c r="F35" s="6" t="s">
        <v>646</v>
      </c>
      <c r="G35" s="7" t="s">
        <v>645</v>
      </c>
    </row>
    <row r="36" spans="1:7">
      <c r="A36" s="23" t="s">
        <v>647</v>
      </c>
      <c r="B36" s="4" t="s">
        <v>439</v>
      </c>
      <c r="C36" s="4" t="s">
        <v>439</v>
      </c>
      <c r="D36" s="4" t="s">
        <v>406</v>
      </c>
      <c r="E36" s="4" t="s">
        <v>431</v>
      </c>
      <c r="F36" s="4" t="s">
        <v>646</v>
      </c>
      <c r="G36" s="5" t="s">
        <v>162</v>
      </c>
    </row>
    <row r="37" spans="1:7">
      <c r="A37" s="22" t="s">
        <v>648</v>
      </c>
      <c r="B37" s="6" t="s">
        <v>170</v>
      </c>
      <c r="C37" s="6" t="s">
        <v>170</v>
      </c>
      <c r="D37" s="6" t="s">
        <v>649</v>
      </c>
      <c r="E37" s="6" t="s">
        <v>85</v>
      </c>
      <c r="F37" s="6" t="s">
        <v>650</v>
      </c>
      <c r="G37" s="7" t="s">
        <v>85</v>
      </c>
    </row>
    <row r="38" spans="1:7">
      <c r="A38" s="23" t="s">
        <v>651</v>
      </c>
      <c r="B38" s="4" t="s">
        <v>652</v>
      </c>
      <c r="C38" s="4" t="s">
        <v>652</v>
      </c>
      <c r="D38" s="4" t="s">
        <v>510</v>
      </c>
      <c r="E38" s="4" t="s">
        <v>653</v>
      </c>
      <c r="F38" s="4" t="s">
        <v>654</v>
      </c>
      <c r="G38" s="5" t="s">
        <v>653</v>
      </c>
    </row>
    <row r="39" spans="1:7">
      <c r="A39" s="22" t="s">
        <v>655</v>
      </c>
      <c r="B39" s="6" t="s">
        <v>275</v>
      </c>
      <c r="C39" s="6" t="s">
        <v>275</v>
      </c>
      <c r="D39" s="6" t="s">
        <v>591</v>
      </c>
      <c r="E39" s="6" t="s">
        <v>423</v>
      </c>
      <c r="F39" s="6" t="s">
        <v>656</v>
      </c>
      <c r="G39" s="7" t="s">
        <v>423</v>
      </c>
    </row>
    <row r="40" spans="1:7">
      <c r="A40" s="23" t="s">
        <v>657</v>
      </c>
      <c r="B40" s="4" t="s">
        <v>194</v>
      </c>
      <c r="C40" s="4" t="s">
        <v>194</v>
      </c>
      <c r="D40" s="4" t="s">
        <v>591</v>
      </c>
      <c r="E40" s="4" t="s">
        <v>402</v>
      </c>
      <c r="F40" s="4" t="s">
        <v>658</v>
      </c>
      <c r="G40" s="5" t="s">
        <v>402</v>
      </c>
    </row>
    <row r="41" spans="1:7">
      <c r="A41" s="22" t="s">
        <v>659</v>
      </c>
      <c r="B41" s="6" t="s">
        <v>175</v>
      </c>
      <c r="C41" s="6" t="s">
        <v>175</v>
      </c>
      <c r="D41" s="6" t="s">
        <v>394</v>
      </c>
      <c r="E41" s="6" t="s">
        <v>112</v>
      </c>
      <c r="F41" s="6" t="s">
        <v>658</v>
      </c>
      <c r="G41" s="7" t="s">
        <v>116</v>
      </c>
    </row>
    <row r="42" spans="1:7">
      <c r="A42" s="23" t="s">
        <v>660</v>
      </c>
      <c r="B42" s="4" t="s">
        <v>437</v>
      </c>
      <c r="C42" s="4" t="s">
        <v>437</v>
      </c>
      <c r="D42" s="4" t="s">
        <v>605</v>
      </c>
      <c r="E42" s="4" t="s">
        <v>105</v>
      </c>
      <c r="F42" s="4" t="s">
        <v>661</v>
      </c>
      <c r="G42" s="5" t="s">
        <v>105</v>
      </c>
    </row>
    <row r="43" spans="1:7">
      <c r="A43" s="22" t="s">
        <v>662</v>
      </c>
      <c r="B43" s="6" t="s">
        <v>273</v>
      </c>
      <c r="C43" s="6" t="s">
        <v>273</v>
      </c>
      <c r="D43" s="6" t="s">
        <v>591</v>
      </c>
      <c r="E43" s="6" t="s">
        <v>485</v>
      </c>
      <c r="F43" s="6" t="s">
        <v>663</v>
      </c>
      <c r="G43" s="7" t="s">
        <v>485</v>
      </c>
    </row>
    <row r="44" spans="1:7">
      <c r="A44" s="23" t="s">
        <v>664</v>
      </c>
      <c r="B44" s="4" t="s">
        <v>665</v>
      </c>
      <c r="C44" s="4" t="s">
        <v>665</v>
      </c>
      <c r="D44" s="4" t="s">
        <v>591</v>
      </c>
      <c r="E44" s="4" t="s">
        <v>448</v>
      </c>
      <c r="F44" s="4" t="s">
        <v>666</v>
      </c>
      <c r="G44" s="5" t="s">
        <v>448</v>
      </c>
    </row>
    <row r="45" spans="1:7">
      <c r="A45" s="22" t="s">
        <v>667</v>
      </c>
      <c r="B45" s="6" t="s">
        <v>668</v>
      </c>
      <c r="C45" s="6" t="s">
        <v>668</v>
      </c>
      <c r="D45" s="6" t="s">
        <v>510</v>
      </c>
      <c r="E45" s="6" t="s">
        <v>645</v>
      </c>
      <c r="F45" s="6" t="s">
        <v>666</v>
      </c>
      <c r="G45" s="7" t="s">
        <v>645</v>
      </c>
    </row>
    <row r="46" spans="1:7">
      <c r="A46" s="23" t="s">
        <v>669</v>
      </c>
      <c r="B46" s="4" t="s">
        <v>180</v>
      </c>
      <c r="C46" s="4" t="s">
        <v>180</v>
      </c>
      <c r="D46" s="4" t="s">
        <v>520</v>
      </c>
      <c r="E46" s="4" t="s">
        <v>161</v>
      </c>
      <c r="F46" s="4" t="s">
        <v>666</v>
      </c>
      <c r="G46" s="5" t="s">
        <v>454</v>
      </c>
    </row>
    <row r="47" spans="1:7">
      <c r="A47" s="22" t="s">
        <v>670</v>
      </c>
      <c r="B47" s="6" t="s">
        <v>671</v>
      </c>
      <c r="C47" s="6" t="s">
        <v>671</v>
      </c>
      <c r="D47" s="6" t="s">
        <v>504</v>
      </c>
      <c r="E47" s="6" t="s">
        <v>105</v>
      </c>
      <c r="F47" s="6" t="s">
        <v>666</v>
      </c>
      <c r="G47" s="7" t="s">
        <v>105</v>
      </c>
    </row>
    <row r="48" spans="1:7">
      <c r="A48" s="23" t="s">
        <v>670</v>
      </c>
      <c r="B48" s="4" t="s">
        <v>672</v>
      </c>
      <c r="C48" s="4" t="s">
        <v>672</v>
      </c>
      <c r="D48" s="4" t="s">
        <v>673</v>
      </c>
      <c r="E48" s="4" t="s">
        <v>98</v>
      </c>
      <c r="F48" s="4" t="s">
        <v>674</v>
      </c>
      <c r="G48" s="5" t="s">
        <v>98</v>
      </c>
    </row>
    <row r="49" spans="1:7">
      <c r="A49" s="22" t="s">
        <v>675</v>
      </c>
      <c r="B49" s="6" t="s">
        <v>307</v>
      </c>
      <c r="C49" s="6" t="s">
        <v>307</v>
      </c>
      <c r="D49" s="6" t="s">
        <v>510</v>
      </c>
      <c r="E49" s="6" t="s">
        <v>423</v>
      </c>
      <c r="F49" s="6" t="s">
        <v>676</v>
      </c>
      <c r="G49" s="7" t="s">
        <v>402</v>
      </c>
    </row>
    <row r="50" spans="1:7">
      <c r="A50" s="23" t="s">
        <v>677</v>
      </c>
      <c r="B50" s="4" t="s">
        <v>678</v>
      </c>
      <c r="C50" s="4" t="s">
        <v>678</v>
      </c>
      <c r="D50" s="4" t="s">
        <v>679</v>
      </c>
      <c r="E50" s="4" t="s">
        <v>98</v>
      </c>
      <c r="F50" s="4" t="s">
        <v>676</v>
      </c>
      <c r="G50" s="5" t="s">
        <v>98</v>
      </c>
    </row>
    <row r="51" spans="1:7">
      <c r="A51" s="22" t="s">
        <v>680</v>
      </c>
      <c r="B51" s="6" t="s">
        <v>329</v>
      </c>
      <c r="C51" s="6" t="s">
        <v>329</v>
      </c>
      <c r="D51" s="6" t="s">
        <v>649</v>
      </c>
      <c r="E51" s="6" t="s">
        <v>79</v>
      </c>
      <c r="F51" s="6" t="s">
        <v>681</v>
      </c>
      <c r="G51" s="7" t="s">
        <v>79</v>
      </c>
    </row>
    <row r="52" spans="1:7">
      <c r="A52" s="23" t="s">
        <v>682</v>
      </c>
      <c r="B52" s="4" t="s">
        <v>132</v>
      </c>
      <c r="C52" s="4" t="s">
        <v>132</v>
      </c>
      <c r="D52" s="4" t="s">
        <v>520</v>
      </c>
      <c r="E52" s="4" t="s">
        <v>683</v>
      </c>
      <c r="F52" s="4" t="s">
        <v>684</v>
      </c>
      <c r="G52" s="5" t="s">
        <v>683</v>
      </c>
    </row>
    <row r="53" spans="1:7">
      <c r="A53" s="22" t="s">
        <v>685</v>
      </c>
      <c r="B53" s="6" t="s">
        <v>686</v>
      </c>
      <c r="C53" s="6" t="s">
        <v>686</v>
      </c>
      <c r="D53" s="6" t="s">
        <v>510</v>
      </c>
      <c r="E53" s="6" t="s">
        <v>103</v>
      </c>
      <c r="F53" s="6" t="s">
        <v>687</v>
      </c>
      <c r="G53" s="7" t="s">
        <v>103</v>
      </c>
    </row>
    <row r="54" spans="1:7">
      <c r="A54" s="23" t="s">
        <v>688</v>
      </c>
      <c r="B54" s="4" t="s">
        <v>689</v>
      </c>
      <c r="C54" s="4" t="s">
        <v>689</v>
      </c>
      <c r="D54" s="4" t="s">
        <v>690</v>
      </c>
      <c r="E54" s="4" t="s">
        <v>182</v>
      </c>
      <c r="F54" s="4" t="s">
        <v>687</v>
      </c>
      <c r="G54" s="5" t="s">
        <v>182</v>
      </c>
    </row>
    <row r="55" spans="1:7">
      <c r="A55" s="22" t="s">
        <v>691</v>
      </c>
      <c r="B55" s="6" t="s">
        <v>692</v>
      </c>
      <c r="C55" s="6" t="s">
        <v>692</v>
      </c>
      <c r="D55" s="6" t="s">
        <v>504</v>
      </c>
      <c r="E55" s="6" t="s">
        <v>98</v>
      </c>
      <c r="F55" s="6" t="s">
        <v>687</v>
      </c>
      <c r="G55" s="7" t="s">
        <v>98</v>
      </c>
    </row>
    <row r="56" spans="1:7">
      <c r="A56" s="23" t="s">
        <v>693</v>
      </c>
      <c r="B56" s="4" t="s">
        <v>694</v>
      </c>
      <c r="C56" s="4" t="s">
        <v>694</v>
      </c>
      <c r="D56" s="4" t="s">
        <v>508</v>
      </c>
      <c r="E56" s="4" t="s">
        <v>79</v>
      </c>
      <c r="F56" s="4" t="s">
        <v>695</v>
      </c>
      <c r="G56" s="5" t="s">
        <v>79</v>
      </c>
    </row>
    <row r="57" spans="1:7">
      <c r="A57" s="22" t="s">
        <v>696</v>
      </c>
      <c r="B57" s="6" t="s">
        <v>136</v>
      </c>
      <c r="C57" s="6" t="s">
        <v>136</v>
      </c>
      <c r="D57" s="6" t="s">
        <v>591</v>
      </c>
      <c r="E57" s="6" t="s">
        <v>155</v>
      </c>
      <c r="F57" s="6" t="s">
        <v>695</v>
      </c>
      <c r="G57" s="7" t="s">
        <v>75</v>
      </c>
    </row>
    <row r="58" spans="1:7">
      <c r="A58" s="23" t="s">
        <v>697</v>
      </c>
      <c r="B58" s="4" t="s">
        <v>698</v>
      </c>
      <c r="C58" s="4" t="s">
        <v>698</v>
      </c>
      <c r="D58" s="4" t="s">
        <v>679</v>
      </c>
      <c r="E58" s="4" t="s">
        <v>182</v>
      </c>
      <c r="F58" s="4" t="s">
        <v>695</v>
      </c>
      <c r="G58" s="5" t="s">
        <v>182</v>
      </c>
    </row>
    <row r="59" spans="1:7">
      <c r="A59" s="22" t="s">
        <v>699</v>
      </c>
      <c r="B59" s="6" t="s">
        <v>700</v>
      </c>
      <c r="C59" s="6" t="s">
        <v>700</v>
      </c>
      <c r="D59" s="6" t="s">
        <v>701</v>
      </c>
      <c r="E59" s="6" t="s">
        <v>93</v>
      </c>
      <c r="F59" s="6" t="s">
        <v>702</v>
      </c>
      <c r="G59" s="7" t="s">
        <v>93</v>
      </c>
    </row>
    <row r="60" spans="1:7">
      <c r="A60" s="23" t="s">
        <v>703</v>
      </c>
      <c r="B60" s="4" t="s">
        <v>172</v>
      </c>
      <c r="C60" s="4" t="s">
        <v>172</v>
      </c>
      <c r="D60" s="4" t="s">
        <v>591</v>
      </c>
      <c r="E60" s="4" t="s">
        <v>75</v>
      </c>
      <c r="F60" s="4" t="s">
        <v>704</v>
      </c>
      <c r="G60" s="5" t="s">
        <v>75</v>
      </c>
    </row>
    <row r="61" spans="1:7">
      <c r="A61" s="22" t="s">
        <v>705</v>
      </c>
      <c r="B61" s="6" t="s">
        <v>706</v>
      </c>
      <c r="C61" s="6" t="s">
        <v>706</v>
      </c>
      <c r="D61" s="6" t="s">
        <v>591</v>
      </c>
      <c r="E61" s="6" t="s">
        <v>75</v>
      </c>
      <c r="F61" s="6" t="s">
        <v>704</v>
      </c>
      <c r="G61" s="7" t="s">
        <v>75</v>
      </c>
    </row>
    <row r="62" spans="1:7">
      <c r="A62" s="23" t="s">
        <v>707</v>
      </c>
      <c r="B62" s="4" t="s">
        <v>708</v>
      </c>
      <c r="C62" s="4" t="s">
        <v>708</v>
      </c>
      <c r="D62" s="4" t="s">
        <v>510</v>
      </c>
      <c r="E62" s="4" t="s">
        <v>162</v>
      </c>
      <c r="F62" s="4" t="s">
        <v>709</v>
      </c>
      <c r="G62" s="5" t="s">
        <v>162</v>
      </c>
    </row>
    <row r="63" spans="1:7">
      <c r="A63" s="22" t="s">
        <v>710</v>
      </c>
      <c r="B63" s="6" t="s">
        <v>711</v>
      </c>
      <c r="C63" s="6" t="s">
        <v>711</v>
      </c>
      <c r="D63" s="6" t="s">
        <v>567</v>
      </c>
      <c r="E63" s="6" t="s">
        <v>98</v>
      </c>
      <c r="F63" s="6" t="s">
        <v>709</v>
      </c>
      <c r="G63" s="7" t="s">
        <v>182</v>
      </c>
    </row>
    <row r="64" spans="1:7">
      <c r="A64" s="23" t="s">
        <v>712</v>
      </c>
      <c r="B64" s="4" t="s">
        <v>713</v>
      </c>
      <c r="C64" s="4" t="s">
        <v>713</v>
      </c>
      <c r="D64" s="4" t="s">
        <v>714</v>
      </c>
      <c r="E64" s="4" t="s">
        <v>82</v>
      </c>
      <c r="F64" s="4" t="s">
        <v>714</v>
      </c>
      <c r="G64" s="5" t="s">
        <v>82</v>
      </c>
    </row>
    <row r="65" spans="1:7">
      <c r="A65" s="22" t="s">
        <v>715</v>
      </c>
      <c r="B65" s="6" t="s">
        <v>716</v>
      </c>
      <c r="C65" s="6" t="s">
        <v>716</v>
      </c>
      <c r="D65" s="6" t="s">
        <v>717</v>
      </c>
      <c r="E65" s="6" t="s">
        <v>182</v>
      </c>
      <c r="F65" s="6" t="s">
        <v>714</v>
      </c>
      <c r="G65" s="7" t="s">
        <v>182</v>
      </c>
    </row>
    <row r="66" spans="1:7">
      <c r="A66" s="23" t="s">
        <v>718</v>
      </c>
      <c r="B66" s="4" t="s">
        <v>719</v>
      </c>
      <c r="C66" s="4" t="s">
        <v>719</v>
      </c>
      <c r="D66" s="4" t="s">
        <v>649</v>
      </c>
      <c r="E66" s="4" t="s">
        <v>105</v>
      </c>
      <c r="F66" s="4" t="s">
        <v>720</v>
      </c>
      <c r="G66" s="5" t="s">
        <v>105</v>
      </c>
    </row>
    <row r="67" spans="1:7">
      <c r="A67" s="22" t="s">
        <v>721</v>
      </c>
      <c r="B67" s="6" t="s">
        <v>722</v>
      </c>
      <c r="C67" s="6" t="s">
        <v>722</v>
      </c>
      <c r="D67" s="6" t="s">
        <v>720</v>
      </c>
      <c r="E67" s="6" t="s">
        <v>82</v>
      </c>
      <c r="F67" s="6" t="s">
        <v>720</v>
      </c>
      <c r="G67" s="7" t="s">
        <v>82</v>
      </c>
    </row>
    <row r="68" spans="1:7">
      <c r="A68" s="23" t="s">
        <v>723</v>
      </c>
      <c r="B68" s="4" t="s">
        <v>311</v>
      </c>
      <c r="C68" s="4" t="s">
        <v>311</v>
      </c>
      <c r="D68" s="4" t="s">
        <v>404</v>
      </c>
      <c r="E68" s="4" t="s">
        <v>103</v>
      </c>
      <c r="F68" s="4" t="s">
        <v>724</v>
      </c>
      <c r="G68" s="5" t="s">
        <v>103</v>
      </c>
    </row>
    <row r="69" spans="1:7">
      <c r="A69" s="22" t="s">
        <v>725</v>
      </c>
      <c r="B69" s="6" t="s">
        <v>726</v>
      </c>
      <c r="C69" s="6" t="s">
        <v>726</v>
      </c>
      <c r="D69" s="6" t="s">
        <v>636</v>
      </c>
      <c r="E69" s="6" t="s">
        <v>93</v>
      </c>
      <c r="F69" s="6" t="s">
        <v>724</v>
      </c>
      <c r="G69" s="7" t="s">
        <v>93</v>
      </c>
    </row>
    <row r="70" spans="1:7">
      <c r="A70" s="23" t="s">
        <v>727</v>
      </c>
      <c r="B70" s="4" t="s">
        <v>728</v>
      </c>
      <c r="C70" s="4" t="s">
        <v>728</v>
      </c>
      <c r="D70" s="4" t="s">
        <v>632</v>
      </c>
      <c r="E70" s="4" t="s">
        <v>98</v>
      </c>
      <c r="F70" s="4" t="s">
        <v>724</v>
      </c>
      <c r="G70" s="5" t="s">
        <v>98</v>
      </c>
    </row>
    <row r="71" spans="1:7">
      <c r="A71" s="22" t="s">
        <v>729</v>
      </c>
      <c r="B71" s="6" t="s">
        <v>316</v>
      </c>
      <c r="C71" s="6" t="s">
        <v>316</v>
      </c>
      <c r="D71" s="6" t="s">
        <v>510</v>
      </c>
      <c r="E71" s="6" t="s">
        <v>155</v>
      </c>
      <c r="F71" s="6" t="s">
        <v>730</v>
      </c>
      <c r="G71" s="7" t="s">
        <v>155</v>
      </c>
    </row>
    <row r="72" spans="1:7">
      <c r="A72" s="23" t="s">
        <v>625</v>
      </c>
      <c r="B72" s="4" t="s">
        <v>731</v>
      </c>
      <c r="C72" s="4" t="s">
        <v>731</v>
      </c>
      <c r="D72" s="4" t="s">
        <v>730</v>
      </c>
      <c r="E72" s="4" t="s">
        <v>82</v>
      </c>
      <c r="F72" s="4" t="s">
        <v>730</v>
      </c>
      <c r="G72" s="5" t="s">
        <v>82</v>
      </c>
    </row>
    <row r="73" spans="1:7">
      <c r="A73" s="22" t="s">
        <v>732</v>
      </c>
      <c r="B73" s="6" t="s">
        <v>248</v>
      </c>
      <c r="C73" s="6" t="s">
        <v>248</v>
      </c>
      <c r="D73" s="6" t="s">
        <v>733</v>
      </c>
      <c r="E73" s="6" t="s">
        <v>105</v>
      </c>
      <c r="F73" s="6" t="s">
        <v>734</v>
      </c>
      <c r="G73" s="7" t="s">
        <v>105</v>
      </c>
    </row>
    <row r="74" spans="1:7">
      <c r="A74" s="23" t="s">
        <v>664</v>
      </c>
      <c r="B74" s="4" t="s">
        <v>66</v>
      </c>
      <c r="C74" s="4" t="s">
        <v>66</v>
      </c>
      <c r="D74" s="4" t="s">
        <v>515</v>
      </c>
      <c r="E74" s="4" t="s">
        <v>94</v>
      </c>
      <c r="F74" s="4" t="s">
        <v>734</v>
      </c>
      <c r="G74" s="5" t="s">
        <v>94</v>
      </c>
    </row>
    <row r="75" spans="1:7">
      <c r="A75" s="22" t="s">
        <v>735</v>
      </c>
      <c r="B75" s="6" t="s">
        <v>736</v>
      </c>
      <c r="C75" s="6" t="s">
        <v>736</v>
      </c>
      <c r="D75" s="6" t="s">
        <v>567</v>
      </c>
      <c r="E75" s="6" t="s">
        <v>182</v>
      </c>
      <c r="F75" s="6" t="s">
        <v>737</v>
      </c>
      <c r="G75" s="7" t="s">
        <v>182</v>
      </c>
    </row>
    <row r="76" spans="1:7">
      <c r="A76" s="23" t="s">
        <v>738</v>
      </c>
      <c r="B76" s="4" t="s">
        <v>739</v>
      </c>
      <c r="C76" s="4" t="s">
        <v>739</v>
      </c>
      <c r="D76" s="4" t="s">
        <v>517</v>
      </c>
      <c r="E76" s="4" t="s">
        <v>79</v>
      </c>
      <c r="F76" s="4" t="s">
        <v>737</v>
      </c>
      <c r="G76" s="5" t="s">
        <v>79</v>
      </c>
    </row>
    <row r="77" spans="1:7">
      <c r="A77" s="22" t="s">
        <v>740</v>
      </c>
      <c r="B77" s="6" t="s">
        <v>741</v>
      </c>
      <c r="C77" s="6" t="s">
        <v>741</v>
      </c>
      <c r="D77" s="6" t="s">
        <v>717</v>
      </c>
      <c r="E77" s="6" t="s">
        <v>115</v>
      </c>
      <c r="F77" s="6" t="s">
        <v>742</v>
      </c>
      <c r="G77" s="7" t="s">
        <v>115</v>
      </c>
    </row>
    <row r="78" spans="1:7">
      <c r="A78" s="23" t="s">
        <v>743</v>
      </c>
      <c r="B78" s="4" t="s">
        <v>744</v>
      </c>
      <c r="C78" s="4" t="s">
        <v>744</v>
      </c>
      <c r="D78" s="4" t="s">
        <v>591</v>
      </c>
      <c r="E78" s="4" t="s">
        <v>116</v>
      </c>
      <c r="F78" s="4" t="s">
        <v>745</v>
      </c>
      <c r="G78" s="5" t="s">
        <v>116</v>
      </c>
    </row>
    <row r="79" spans="1:7">
      <c r="A79" s="22" t="s">
        <v>746</v>
      </c>
      <c r="B79" s="6" t="s">
        <v>747</v>
      </c>
      <c r="C79" s="6" t="s">
        <v>747</v>
      </c>
      <c r="D79" s="6" t="s">
        <v>591</v>
      </c>
      <c r="E79" s="6" t="s">
        <v>116</v>
      </c>
      <c r="F79" s="6" t="s">
        <v>745</v>
      </c>
      <c r="G79" s="7" t="s">
        <v>116</v>
      </c>
    </row>
    <row r="80" spans="1:7">
      <c r="A80" s="23" t="s">
        <v>748</v>
      </c>
      <c r="B80" s="4" t="s">
        <v>749</v>
      </c>
      <c r="C80" s="4" t="s">
        <v>749</v>
      </c>
      <c r="D80" s="4" t="s">
        <v>632</v>
      </c>
      <c r="E80" s="4" t="s">
        <v>182</v>
      </c>
      <c r="F80" s="4" t="s">
        <v>745</v>
      </c>
      <c r="G80" s="5" t="s">
        <v>182</v>
      </c>
    </row>
    <row r="81" spans="1:7">
      <c r="A81" s="22" t="s">
        <v>750</v>
      </c>
      <c r="B81" s="6" t="s">
        <v>751</v>
      </c>
      <c r="C81" s="6" t="s">
        <v>751</v>
      </c>
      <c r="D81" s="6" t="s">
        <v>404</v>
      </c>
      <c r="E81" s="6" t="s">
        <v>431</v>
      </c>
      <c r="F81" s="6" t="s">
        <v>745</v>
      </c>
      <c r="G81" s="7" t="s">
        <v>431</v>
      </c>
    </row>
    <row r="82" spans="1:7">
      <c r="A82" s="23" t="s">
        <v>752</v>
      </c>
      <c r="B82" s="4" t="s">
        <v>753</v>
      </c>
      <c r="C82" s="4" t="s">
        <v>753</v>
      </c>
      <c r="D82" s="4" t="s">
        <v>754</v>
      </c>
      <c r="E82" s="4" t="s">
        <v>90</v>
      </c>
      <c r="F82" s="4" t="s">
        <v>755</v>
      </c>
      <c r="G82" s="5" t="s">
        <v>90</v>
      </c>
    </row>
    <row r="83" spans="1:7">
      <c r="A83" s="22" t="s">
        <v>756</v>
      </c>
      <c r="B83" s="6" t="s">
        <v>214</v>
      </c>
      <c r="C83" s="6" t="s">
        <v>214</v>
      </c>
      <c r="D83" s="6" t="s">
        <v>510</v>
      </c>
      <c r="E83" s="6" t="s">
        <v>126</v>
      </c>
      <c r="F83" s="6" t="s">
        <v>757</v>
      </c>
      <c r="G83" s="7" t="s">
        <v>126</v>
      </c>
    </row>
    <row r="84" spans="1:7">
      <c r="A84" s="23" t="s">
        <v>758</v>
      </c>
      <c r="B84" s="4" t="s">
        <v>759</v>
      </c>
      <c r="C84" s="4" t="s">
        <v>759</v>
      </c>
      <c r="D84" s="4" t="s">
        <v>517</v>
      </c>
      <c r="E84" s="4" t="s">
        <v>84</v>
      </c>
      <c r="F84" s="4" t="s">
        <v>757</v>
      </c>
      <c r="G84" s="5" t="s">
        <v>84</v>
      </c>
    </row>
    <row r="85" spans="1:7">
      <c r="A85" s="22" t="s">
        <v>760</v>
      </c>
      <c r="B85" s="6" t="s">
        <v>761</v>
      </c>
      <c r="C85" s="6" t="s">
        <v>761</v>
      </c>
      <c r="D85" s="6" t="s">
        <v>701</v>
      </c>
      <c r="E85" s="6" t="s">
        <v>90</v>
      </c>
      <c r="F85" s="6" t="s">
        <v>757</v>
      </c>
      <c r="G85" s="7" t="s">
        <v>90</v>
      </c>
    </row>
    <row r="86" spans="1:7">
      <c r="A86" s="23" t="s">
        <v>762</v>
      </c>
      <c r="B86" s="4" t="s">
        <v>470</v>
      </c>
      <c r="C86" s="4" t="s">
        <v>470</v>
      </c>
      <c r="D86" s="4" t="s">
        <v>591</v>
      </c>
      <c r="E86" s="4" t="s">
        <v>94</v>
      </c>
      <c r="F86" s="4" t="s">
        <v>763</v>
      </c>
      <c r="G86" s="5" t="s">
        <v>94</v>
      </c>
    </row>
    <row r="87" spans="1:7">
      <c r="A87" s="22" t="s">
        <v>735</v>
      </c>
      <c r="B87" s="6" t="s">
        <v>764</v>
      </c>
      <c r="C87" s="6" t="s">
        <v>764</v>
      </c>
      <c r="D87" s="6" t="s">
        <v>673</v>
      </c>
      <c r="E87" s="6" t="s">
        <v>93</v>
      </c>
      <c r="F87" s="6" t="s">
        <v>765</v>
      </c>
      <c r="G87" s="7" t="s">
        <v>93</v>
      </c>
    </row>
    <row r="88" spans="1:7">
      <c r="A88" s="23" t="s">
        <v>766</v>
      </c>
      <c r="B88" s="4" t="s">
        <v>464</v>
      </c>
      <c r="C88" s="4" t="s">
        <v>464</v>
      </c>
      <c r="D88" s="4" t="s">
        <v>508</v>
      </c>
      <c r="E88" s="4" t="s">
        <v>98</v>
      </c>
      <c r="F88" s="4" t="s">
        <v>581</v>
      </c>
      <c r="G88" s="5" t="s">
        <v>98</v>
      </c>
    </row>
    <row r="89" spans="1:7">
      <c r="A89" s="22" t="s">
        <v>767</v>
      </c>
      <c r="B89" s="6" t="s">
        <v>768</v>
      </c>
      <c r="C89" s="6" t="s">
        <v>768</v>
      </c>
      <c r="D89" s="6" t="s">
        <v>508</v>
      </c>
      <c r="E89" s="6" t="s">
        <v>98</v>
      </c>
      <c r="F89" s="6" t="s">
        <v>581</v>
      </c>
      <c r="G89" s="7" t="s">
        <v>98</v>
      </c>
    </row>
    <row r="90" spans="1:7">
      <c r="A90" s="23" t="s">
        <v>769</v>
      </c>
      <c r="B90" s="4" t="s">
        <v>770</v>
      </c>
      <c r="C90" s="4" t="s">
        <v>770</v>
      </c>
      <c r="D90" s="4" t="s">
        <v>591</v>
      </c>
      <c r="E90" s="4" t="s">
        <v>85</v>
      </c>
      <c r="F90" s="4" t="s">
        <v>771</v>
      </c>
      <c r="G90" s="5" t="s">
        <v>85</v>
      </c>
    </row>
    <row r="91" spans="1:7">
      <c r="A91" s="22" t="s">
        <v>772</v>
      </c>
      <c r="B91" s="6" t="s">
        <v>255</v>
      </c>
      <c r="C91" s="6" t="s">
        <v>255</v>
      </c>
      <c r="D91" s="6" t="s">
        <v>406</v>
      </c>
      <c r="E91" s="6" t="s">
        <v>84</v>
      </c>
      <c r="F91" s="6" t="s">
        <v>773</v>
      </c>
      <c r="G91" s="7" t="s">
        <v>84</v>
      </c>
    </row>
    <row r="92" spans="1:7">
      <c r="A92" s="23" t="s">
        <v>774</v>
      </c>
      <c r="B92" s="4" t="s">
        <v>775</v>
      </c>
      <c r="C92" s="4" t="s">
        <v>775</v>
      </c>
      <c r="D92" s="4" t="s">
        <v>515</v>
      </c>
      <c r="E92" s="4" t="s">
        <v>79</v>
      </c>
      <c r="F92" s="4" t="s">
        <v>776</v>
      </c>
      <c r="G92" s="5" t="s">
        <v>79</v>
      </c>
    </row>
    <row r="93" spans="1:7">
      <c r="A93" s="22" t="s">
        <v>777</v>
      </c>
      <c r="B93" s="6" t="s">
        <v>321</v>
      </c>
      <c r="C93" s="6" t="s">
        <v>321</v>
      </c>
      <c r="D93" s="6" t="s">
        <v>733</v>
      </c>
      <c r="E93" s="6" t="s">
        <v>182</v>
      </c>
      <c r="F93" s="6" t="s">
        <v>776</v>
      </c>
      <c r="G93" s="7" t="s">
        <v>182</v>
      </c>
    </row>
    <row r="94" spans="1:7">
      <c r="A94" s="23" t="s">
        <v>778</v>
      </c>
      <c r="B94" s="4" t="s">
        <v>202</v>
      </c>
      <c r="C94" s="4" t="s">
        <v>202</v>
      </c>
      <c r="D94" s="4" t="s">
        <v>404</v>
      </c>
      <c r="E94" s="4" t="s">
        <v>75</v>
      </c>
      <c r="F94" s="4" t="s">
        <v>776</v>
      </c>
      <c r="G94" s="5" t="s">
        <v>126</v>
      </c>
    </row>
    <row r="95" spans="1:7">
      <c r="A95" s="22" t="s">
        <v>779</v>
      </c>
      <c r="B95" s="6" t="s">
        <v>780</v>
      </c>
      <c r="C95" s="6" t="s">
        <v>780</v>
      </c>
      <c r="D95" s="6" t="s">
        <v>591</v>
      </c>
      <c r="E95" s="6" t="s">
        <v>88</v>
      </c>
      <c r="F95" s="6" t="s">
        <v>776</v>
      </c>
      <c r="G95" s="7" t="s">
        <v>88</v>
      </c>
    </row>
    <row r="96" spans="1:7">
      <c r="A96" s="23" t="s">
        <v>781</v>
      </c>
      <c r="B96" s="4" t="s">
        <v>186</v>
      </c>
      <c r="C96" s="4" t="s">
        <v>186</v>
      </c>
      <c r="D96" s="4" t="s">
        <v>394</v>
      </c>
      <c r="E96" s="4" t="s">
        <v>98</v>
      </c>
      <c r="F96" s="4" t="s">
        <v>776</v>
      </c>
      <c r="G96" s="5" t="s">
        <v>98</v>
      </c>
    </row>
    <row r="97" spans="1:7">
      <c r="A97" s="22" t="s">
        <v>782</v>
      </c>
      <c r="B97" s="6" t="s">
        <v>783</v>
      </c>
      <c r="C97" s="6" t="s">
        <v>783</v>
      </c>
      <c r="D97" s="6" t="s">
        <v>404</v>
      </c>
      <c r="E97" s="6" t="s">
        <v>75</v>
      </c>
      <c r="F97" s="6" t="s">
        <v>776</v>
      </c>
      <c r="G97" s="7" t="s">
        <v>75</v>
      </c>
    </row>
    <row r="98" spans="1:7">
      <c r="A98" s="23" t="s">
        <v>784</v>
      </c>
      <c r="B98" s="4" t="s">
        <v>785</v>
      </c>
      <c r="C98" s="4" t="s">
        <v>785</v>
      </c>
      <c r="D98" s="4" t="s">
        <v>786</v>
      </c>
      <c r="E98" s="4" t="s">
        <v>82</v>
      </c>
      <c r="F98" s="4" t="s">
        <v>786</v>
      </c>
      <c r="G98" s="5" t="s">
        <v>82</v>
      </c>
    </row>
    <row r="99" spans="1:7">
      <c r="A99" s="22" t="s">
        <v>787</v>
      </c>
      <c r="B99" s="6" t="s">
        <v>788</v>
      </c>
      <c r="C99" s="6" t="s">
        <v>788</v>
      </c>
      <c r="D99" s="6" t="s">
        <v>517</v>
      </c>
      <c r="E99" s="6" t="s">
        <v>105</v>
      </c>
      <c r="F99" s="6" t="s">
        <v>789</v>
      </c>
      <c r="G99" s="7" t="s">
        <v>98</v>
      </c>
    </row>
    <row r="100" spans="1:7">
      <c r="A100" s="23" t="s">
        <v>790</v>
      </c>
      <c r="B100" s="4" t="s">
        <v>168</v>
      </c>
      <c r="C100" s="4" t="s">
        <v>168</v>
      </c>
      <c r="D100" s="4" t="s">
        <v>510</v>
      </c>
      <c r="E100" s="4" t="s">
        <v>94</v>
      </c>
      <c r="F100" s="4" t="s">
        <v>789</v>
      </c>
      <c r="G100" s="5" t="s">
        <v>94</v>
      </c>
    </row>
    <row r="101" spans="1:7">
      <c r="A101" s="22" t="s">
        <v>791</v>
      </c>
      <c r="B101" s="6" t="s">
        <v>792</v>
      </c>
      <c r="C101" s="6" t="s">
        <v>792</v>
      </c>
      <c r="D101" s="6" t="s">
        <v>591</v>
      </c>
      <c r="E101" s="6" t="s">
        <v>77</v>
      </c>
      <c r="F101" s="6" t="s">
        <v>793</v>
      </c>
      <c r="G101" s="7" t="s">
        <v>77</v>
      </c>
    </row>
    <row r="102" spans="1:7">
      <c r="A102" s="23" t="s">
        <v>794</v>
      </c>
      <c r="B102" s="4" t="s">
        <v>795</v>
      </c>
      <c r="C102" s="4" t="s">
        <v>795</v>
      </c>
      <c r="D102" s="4" t="s">
        <v>591</v>
      </c>
      <c r="E102" s="4" t="s">
        <v>77</v>
      </c>
      <c r="F102" s="4" t="s">
        <v>793</v>
      </c>
      <c r="G102" s="5" t="s">
        <v>77</v>
      </c>
    </row>
    <row r="103" spans="1:7">
      <c r="A103" s="22" t="s">
        <v>796</v>
      </c>
      <c r="B103" s="6" t="s">
        <v>797</v>
      </c>
      <c r="C103" s="6" t="s">
        <v>797</v>
      </c>
      <c r="D103" s="6" t="s">
        <v>597</v>
      </c>
      <c r="E103" s="6" t="s">
        <v>98</v>
      </c>
      <c r="F103" s="6" t="s">
        <v>506</v>
      </c>
      <c r="G103" s="7" t="s">
        <v>98</v>
      </c>
    </row>
    <row r="104" spans="1:7">
      <c r="A104" s="23" t="s">
        <v>648</v>
      </c>
      <c r="B104" s="4" t="s">
        <v>798</v>
      </c>
      <c r="C104" s="4" t="s">
        <v>798</v>
      </c>
      <c r="D104" s="4" t="s">
        <v>649</v>
      </c>
      <c r="E104" s="4" t="s">
        <v>115</v>
      </c>
      <c r="F104" s="4" t="s">
        <v>627</v>
      </c>
      <c r="G104" s="5" t="s">
        <v>115</v>
      </c>
    </row>
    <row r="105" spans="1:7">
      <c r="A105" s="22" t="s">
        <v>799</v>
      </c>
      <c r="B105" s="6" t="s">
        <v>800</v>
      </c>
      <c r="C105" s="6" t="s">
        <v>800</v>
      </c>
      <c r="D105" s="6" t="s">
        <v>404</v>
      </c>
      <c r="E105" s="6" t="s">
        <v>203</v>
      </c>
      <c r="F105" s="6" t="s">
        <v>801</v>
      </c>
      <c r="G105" s="7" t="s">
        <v>203</v>
      </c>
    </row>
    <row r="106" spans="1:7">
      <c r="A106" s="23" t="s">
        <v>802</v>
      </c>
      <c r="B106" s="4" t="s">
        <v>803</v>
      </c>
      <c r="C106" s="4" t="s">
        <v>803</v>
      </c>
      <c r="D106" s="4" t="s">
        <v>591</v>
      </c>
      <c r="E106" s="4" t="s">
        <v>79</v>
      </c>
      <c r="F106" s="4" t="s">
        <v>804</v>
      </c>
      <c r="G106" s="5" t="s">
        <v>79</v>
      </c>
    </row>
    <row r="107" spans="1:7">
      <c r="A107" s="22" t="s">
        <v>805</v>
      </c>
      <c r="B107" s="6" t="s">
        <v>806</v>
      </c>
      <c r="C107" s="6" t="s">
        <v>806</v>
      </c>
      <c r="D107" s="6" t="s">
        <v>733</v>
      </c>
      <c r="E107" s="6" t="s">
        <v>115</v>
      </c>
      <c r="F107" s="6" t="s">
        <v>807</v>
      </c>
      <c r="G107" s="7" t="s">
        <v>115</v>
      </c>
    </row>
    <row r="108" spans="1:7">
      <c r="A108" s="23" t="s">
        <v>808</v>
      </c>
      <c r="B108" s="4" t="s">
        <v>809</v>
      </c>
      <c r="C108" s="4" t="s">
        <v>809</v>
      </c>
      <c r="D108" s="4" t="s">
        <v>520</v>
      </c>
      <c r="E108" s="4" t="s">
        <v>162</v>
      </c>
      <c r="F108" s="4" t="s">
        <v>807</v>
      </c>
      <c r="G108" s="5" t="s">
        <v>162</v>
      </c>
    </row>
    <row r="109" spans="1:7">
      <c r="A109" s="22" t="s">
        <v>810</v>
      </c>
      <c r="B109" s="6" t="s">
        <v>200</v>
      </c>
      <c r="C109" s="6" t="s">
        <v>200</v>
      </c>
      <c r="D109" s="6" t="s">
        <v>510</v>
      </c>
      <c r="E109" s="6" t="s">
        <v>88</v>
      </c>
      <c r="F109" s="6" t="s">
        <v>807</v>
      </c>
      <c r="G109" s="7" t="s">
        <v>88</v>
      </c>
    </row>
    <row r="110" spans="1:7">
      <c r="A110" s="23" t="s">
        <v>811</v>
      </c>
      <c r="B110" s="4" t="s">
        <v>812</v>
      </c>
      <c r="C110" s="4" t="s">
        <v>812</v>
      </c>
      <c r="D110" s="4" t="s">
        <v>733</v>
      </c>
      <c r="E110" s="4" t="s">
        <v>115</v>
      </c>
      <c r="F110" s="4" t="s">
        <v>807</v>
      </c>
      <c r="G110" s="5" t="s">
        <v>115</v>
      </c>
    </row>
    <row r="111" spans="1:7">
      <c r="A111" s="22" t="s">
        <v>813</v>
      </c>
      <c r="B111" s="6" t="s">
        <v>244</v>
      </c>
      <c r="C111" s="6" t="s">
        <v>244</v>
      </c>
      <c r="D111" s="6" t="s">
        <v>517</v>
      </c>
      <c r="E111" s="6" t="s">
        <v>98</v>
      </c>
      <c r="F111" s="6" t="s">
        <v>807</v>
      </c>
      <c r="G111" s="7" t="s">
        <v>98</v>
      </c>
    </row>
    <row r="112" spans="1:7">
      <c r="A112" s="23" t="s">
        <v>814</v>
      </c>
      <c r="B112" s="4" t="s">
        <v>815</v>
      </c>
      <c r="C112" s="4" t="s">
        <v>815</v>
      </c>
      <c r="D112" s="4" t="s">
        <v>517</v>
      </c>
      <c r="E112" s="4" t="s">
        <v>98</v>
      </c>
      <c r="F112" s="4" t="s">
        <v>807</v>
      </c>
      <c r="G112" s="5" t="s">
        <v>98</v>
      </c>
    </row>
    <row r="113" spans="1:7">
      <c r="A113" s="22" t="s">
        <v>816</v>
      </c>
      <c r="B113" s="6" t="s">
        <v>817</v>
      </c>
      <c r="C113" s="6" t="s">
        <v>817</v>
      </c>
      <c r="D113" s="6" t="s">
        <v>818</v>
      </c>
      <c r="E113" s="6" t="s">
        <v>82</v>
      </c>
      <c r="F113" s="6" t="s">
        <v>818</v>
      </c>
      <c r="G113" s="7" t="s">
        <v>82</v>
      </c>
    </row>
    <row r="114" spans="1:7">
      <c r="A114" s="23" t="s">
        <v>819</v>
      </c>
      <c r="B114" s="4" t="s">
        <v>246</v>
      </c>
      <c r="C114" s="4" t="s">
        <v>246</v>
      </c>
      <c r="D114" s="4" t="s">
        <v>404</v>
      </c>
      <c r="E114" s="4" t="s">
        <v>116</v>
      </c>
      <c r="F114" s="4" t="s">
        <v>820</v>
      </c>
      <c r="G114" s="5" t="s">
        <v>116</v>
      </c>
    </row>
    <row r="115" spans="1:7">
      <c r="A115" s="22" t="s">
        <v>821</v>
      </c>
      <c r="B115" s="6" t="s">
        <v>822</v>
      </c>
      <c r="C115" s="6" t="s">
        <v>822</v>
      </c>
      <c r="D115" s="6" t="s">
        <v>597</v>
      </c>
      <c r="E115" s="6" t="s">
        <v>182</v>
      </c>
      <c r="F115" s="6" t="s">
        <v>820</v>
      </c>
      <c r="G115" s="7" t="s">
        <v>182</v>
      </c>
    </row>
    <row r="116" spans="1:7">
      <c r="A116" s="23" t="s">
        <v>823</v>
      </c>
      <c r="B116" s="4" t="s">
        <v>824</v>
      </c>
      <c r="C116" s="4" t="s">
        <v>824</v>
      </c>
      <c r="D116" s="4" t="s">
        <v>632</v>
      </c>
      <c r="E116" s="4" t="s">
        <v>93</v>
      </c>
      <c r="F116" s="4" t="s">
        <v>820</v>
      </c>
      <c r="G116" s="5" t="s">
        <v>93</v>
      </c>
    </row>
    <row r="117" spans="1:7">
      <c r="A117" s="22" t="s">
        <v>825</v>
      </c>
      <c r="B117" s="6" t="s">
        <v>269</v>
      </c>
      <c r="C117" s="6" t="s">
        <v>269</v>
      </c>
      <c r="D117" s="6" t="s">
        <v>508</v>
      </c>
      <c r="E117" s="6" t="s">
        <v>115</v>
      </c>
      <c r="F117" s="6" t="s">
        <v>826</v>
      </c>
      <c r="G117" s="7" t="s">
        <v>115</v>
      </c>
    </row>
    <row r="118" spans="1:7">
      <c r="A118" s="23" t="s">
        <v>827</v>
      </c>
      <c r="B118" s="4" t="s">
        <v>828</v>
      </c>
      <c r="C118" s="4" t="s">
        <v>828</v>
      </c>
      <c r="D118" s="4" t="s">
        <v>508</v>
      </c>
      <c r="E118" s="4" t="s">
        <v>115</v>
      </c>
      <c r="F118" s="4" t="s">
        <v>826</v>
      </c>
      <c r="G118" s="5" t="s">
        <v>115</v>
      </c>
    </row>
    <row r="119" spans="1:7">
      <c r="A119" s="22" t="s">
        <v>829</v>
      </c>
      <c r="B119" s="6" t="s">
        <v>830</v>
      </c>
      <c r="C119" s="6" t="s">
        <v>830</v>
      </c>
      <c r="D119" s="6" t="s">
        <v>520</v>
      </c>
      <c r="E119" s="6" t="s">
        <v>155</v>
      </c>
      <c r="F119" s="6" t="s">
        <v>826</v>
      </c>
      <c r="G119" s="7" t="s">
        <v>155</v>
      </c>
    </row>
    <row r="120" spans="1:7">
      <c r="A120" s="23" t="s">
        <v>721</v>
      </c>
      <c r="B120" s="4" t="s">
        <v>831</v>
      </c>
      <c r="C120" s="4" t="s">
        <v>831</v>
      </c>
      <c r="D120" s="4" t="s">
        <v>826</v>
      </c>
      <c r="E120" s="4" t="s">
        <v>82</v>
      </c>
      <c r="F120" s="4" t="s">
        <v>826</v>
      </c>
      <c r="G120" s="5" t="s">
        <v>82</v>
      </c>
    </row>
    <row r="121" spans="1:7">
      <c r="A121" s="22" t="s">
        <v>832</v>
      </c>
      <c r="B121" s="6" t="s">
        <v>833</v>
      </c>
      <c r="C121" s="6" t="s">
        <v>833</v>
      </c>
      <c r="D121" s="6" t="s">
        <v>508</v>
      </c>
      <c r="E121" s="6" t="s">
        <v>115</v>
      </c>
      <c r="F121" s="6" t="s">
        <v>826</v>
      </c>
      <c r="G121" s="7" t="s">
        <v>115</v>
      </c>
    </row>
    <row r="122" spans="1:7">
      <c r="A122" s="23" t="s">
        <v>834</v>
      </c>
      <c r="B122" s="4" t="s">
        <v>408</v>
      </c>
      <c r="C122" s="4" t="s">
        <v>408</v>
      </c>
      <c r="D122" s="4" t="s">
        <v>515</v>
      </c>
      <c r="E122" s="4" t="s">
        <v>105</v>
      </c>
      <c r="F122" s="4" t="s">
        <v>835</v>
      </c>
      <c r="G122" s="5" t="s">
        <v>105</v>
      </c>
    </row>
    <row r="123" spans="1:7">
      <c r="A123" s="22" t="s">
        <v>836</v>
      </c>
      <c r="B123" s="6" t="s">
        <v>414</v>
      </c>
      <c r="C123" s="6" t="s">
        <v>414</v>
      </c>
      <c r="D123" s="6" t="s">
        <v>406</v>
      </c>
      <c r="E123" s="6" t="s">
        <v>98</v>
      </c>
      <c r="F123" s="6" t="s">
        <v>835</v>
      </c>
      <c r="G123" s="7" t="s">
        <v>98</v>
      </c>
    </row>
    <row r="124" spans="1:7">
      <c r="A124" s="23" t="s">
        <v>837</v>
      </c>
      <c r="B124" s="4" t="s">
        <v>838</v>
      </c>
      <c r="C124" s="4" t="s">
        <v>838</v>
      </c>
      <c r="D124" s="4" t="s">
        <v>515</v>
      </c>
      <c r="E124" s="4" t="s">
        <v>105</v>
      </c>
      <c r="F124" s="4" t="s">
        <v>835</v>
      </c>
      <c r="G124" s="5" t="s">
        <v>105</v>
      </c>
    </row>
    <row r="125" spans="1:7">
      <c r="A125" s="22" t="s">
        <v>718</v>
      </c>
      <c r="B125" s="6" t="s">
        <v>62</v>
      </c>
      <c r="C125" s="6" t="s">
        <v>62</v>
      </c>
      <c r="D125" s="6" t="s">
        <v>605</v>
      </c>
      <c r="E125" s="6" t="s">
        <v>90</v>
      </c>
      <c r="F125" s="6" t="s">
        <v>835</v>
      </c>
      <c r="G125" s="7" t="s">
        <v>90</v>
      </c>
    </row>
    <row r="126" spans="1:7">
      <c r="A126" s="23" t="s">
        <v>839</v>
      </c>
      <c r="B126" s="4" t="s">
        <v>335</v>
      </c>
      <c r="C126" s="4" t="s">
        <v>335</v>
      </c>
      <c r="D126" s="4" t="s">
        <v>510</v>
      </c>
      <c r="E126" s="4" t="s">
        <v>79</v>
      </c>
      <c r="F126" s="4" t="s">
        <v>840</v>
      </c>
      <c r="G126" s="5" t="s">
        <v>84</v>
      </c>
    </row>
    <row r="127" spans="1:7">
      <c r="A127" s="22" t="s">
        <v>841</v>
      </c>
      <c r="B127" s="6" t="s">
        <v>209</v>
      </c>
      <c r="C127" s="6" t="s">
        <v>209</v>
      </c>
      <c r="D127" s="6" t="s">
        <v>510</v>
      </c>
      <c r="E127" s="6" t="s">
        <v>79</v>
      </c>
      <c r="F127" s="6" t="s">
        <v>840</v>
      </c>
      <c r="G127" s="7" t="s">
        <v>84</v>
      </c>
    </row>
    <row r="128" spans="1:7">
      <c r="A128" s="23" t="s">
        <v>842</v>
      </c>
      <c r="B128" s="4" t="s">
        <v>843</v>
      </c>
      <c r="C128" s="4" t="s">
        <v>843</v>
      </c>
      <c r="D128" s="4" t="s">
        <v>840</v>
      </c>
      <c r="E128" s="4" t="s">
        <v>82</v>
      </c>
      <c r="F128" s="4" t="s">
        <v>840</v>
      </c>
      <c r="G128" s="5" t="s">
        <v>82</v>
      </c>
    </row>
    <row r="129" spans="1:7">
      <c r="A129" s="22" t="s">
        <v>844</v>
      </c>
      <c r="B129" s="6" t="s">
        <v>123</v>
      </c>
      <c r="C129" s="6" t="s">
        <v>123</v>
      </c>
      <c r="D129" s="6" t="s">
        <v>517</v>
      </c>
      <c r="E129" s="6" t="s">
        <v>182</v>
      </c>
      <c r="F129" s="6" t="s">
        <v>840</v>
      </c>
      <c r="G129" s="7" t="s">
        <v>182</v>
      </c>
    </row>
    <row r="130" spans="1:7">
      <c r="A130" s="23" t="s">
        <v>845</v>
      </c>
      <c r="B130" s="4" t="s">
        <v>242</v>
      </c>
      <c r="C130" s="4" t="s">
        <v>242</v>
      </c>
      <c r="D130" s="4" t="s">
        <v>517</v>
      </c>
      <c r="E130" s="4" t="s">
        <v>182</v>
      </c>
      <c r="F130" s="4" t="s">
        <v>840</v>
      </c>
      <c r="G130" s="5" t="s">
        <v>182</v>
      </c>
    </row>
    <row r="131" spans="1:7">
      <c r="A131" s="22" t="s">
        <v>846</v>
      </c>
      <c r="B131" s="6" t="s">
        <v>847</v>
      </c>
      <c r="C131" s="6" t="s">
        <v>847</v>
      </c>
      <c r="D131" s="6" t="s">
        <v>394</v>
      </c>
      <c r="E131" s="6" t="s">
        <v>115</v>
      </c>
      <c r="F131" s="6" t="s">
        <v>840</v>
      </c>
      <c r="G131" s="7" t="s">
        <v>115</v>
      </c>
    </row>
    <row r="132" spans="1:7">
      <c r="A132" s="23" t="s">
        <v>848</v>
      </c>
      <c r="B132" s="4" t="s">
        <v>178</v>
      </c>
      <c r="C132" s="4" t="s">
        <v>178</v>
      </c>
      <c r="D132" s="4" t="s">
        <v>404</v>
      </c>
      <c r="E132" s="4" t="s">
        <v>85</v>
      </c>
      <c r="F132" s="4" t="s">
        <v>849</v>
      </c>
      <c r="G132" s="5" t="s">
        <v>85</v>
      </c>
    </row>
    <row r="133" spans="1:7">
      <c r="A133" s="22" t="s">
        <v>850</v>
      </c>
      <c r="B133" s="6" t="s">
        <v>851</v>
      </c>
      <c r="C133" s="6" t="s">
        <v>851</v>
      </c>
      <c r="D133" s="6" t="s">
        <v>520</v>
      </c>
      <c r="E133" s="6" t="s">
        <v>128</v>
      </c>
      <c r="F133" s="6" t="s">
        <v>852</v>
      </c>
      <c r="G133" s="7" t="s">
        <v>128</v>
      </c>
    </row>
    <row r="134" spans="1:7">
      <c r="A134" s="23" t="s">
        <v>853</v>
      </c>
      <c r="B134" s="4" t="s">
        <v>854</v>
      </c>
      <c r="C134" s="4" t="s">
        <v>854</v>
      </c>
      <c r="D134" s="4" t="s">
        <v>515</v>
      </c>
      <c r="E134" s="4" t="s">
        <v>98</v>
      </c>
      <c r="F134" s="4" t="s">
        <v>701</v>
      </c>
      <c r="G134" s="5" t="s">
        <v>98</v>
      </c>
    </row>
    <row r="135" spans="1:7">
      <c r="A135" s="22" t="s">
        <v>855</v>
      </c>
      <c r="B135" s="6" t="s">
        <v>856</v>
      </c>
      <c r="C135" s="6" t="s">
        <v>856</v>
      </c>
      <c r="D135" s="6" t="s">
        <v>701</v>
      </c>
      <c r="E135" s="6" t="s">
        <v>82</v>
      </c>
      <c r="F135" s="6" t="s">
        <v>701</v>
      </c>
      <c r="G135" s="7" t="s">
        <v>82</v>
      </c>
    </row>
    <row r="136" spans="1:7">
      <c r="A136" s="23" t="s">
        <v>857</v>
      </c>
      <c r="B136" s="4" t="s">
        <v>302</v>
      </c>
      <c r="C136" s="4" t="s">
        <v>302</v>
      </c>
      <c r="D136" s="4" t="s">
        <v>515</v>
      </c>
      <c r="E136" s="4" t="s">
        <v>98</v>
      </c>
      <c r="F136" s="4" t="s">
        <v>701</v>
      </c>
      <c r="G136" s="5" t="s">
        <v>98</v>
      </c>
    </row>
    <row r="137" spans="1:7">
      <c r="A137" s="22" t="s">
        <v>858</v>
      </c>
      <c r="B137" s="6" t="s">
        <v>110</v>
      </c>
      <c r="C137" s="6" t="s">
        <v>110</v>
      </c>
      <c r="D137" s="6" t="s">
        <v>733</v>
      </c>
      <c r="E137" s="6" t="s">
        <v>93</v>
      </c>
      <c r="F137" s="6" t="s">
        <v>701</v>
      </c>
      <c r="G137" s="7" t="s">
        <v>93</v>
      </c>
    </row>
    <row r="138" spans="1:7">
      <c r="A138" s="23" t="s">
        <v>859</v>
      </c>
      <c r="B138" s="4" t="s">
        <v>446</v>
      </c>
      <c r="C138" s="4" t="s">
        <v>446</v>
      </c>
      <c r="D138" s="4" t="s">
        <v>406</v>
      </c>
      <c r="E138" s="4" t="s">
        <v>182</v>
      </c>
      <c r="F138" s="4" t="s">
        <v>860</v>
      </c>
      <c r="G138" s="5" t="s">
        <v>182</v>
      </c>
    </row>
    <row r="139" spans="1:7">
      <c r="A139" s="22" t="s">
        <v>861</v>
      </c>
      <c r="B139" s="6" t="s">
        <v>862</v>
      </c>
      <c r="C139" s="6" t="s">
        <v>862</v>
      </c>
      <c r="D139" s="6" t="s">
        <v>520</v>
      </c>
      <c r="E139" s="6" t="s">
        <v>203</v>
      </c>
      <c r="F139" s="6" t="s">
        <v>863</v>
      </c>
      <c r="G139" s="7" t="s">
        <v>203</v>
      </c>
    </row>
    <row r="140" spans="1:7">
      <c r="A140" s="23" t="s">
        <v>710</v>
      </c>
      <c r="B140" s="4" t="s">
        <v>864</v>
      </c>
      <c r="C140" s="4" t="s">
        <v>864</v>
      </c>
      <c r="D140" s="4" t="s">
        <v>865</v>
      </c>
      <c r="E140" s="4" t="s">
        <v>90</v>
      </c>
      <c r="F140" s="4" t="s">
        <v>863</v>
      </c>
      <c r="G140" s="5" t="s">
        <v>90</v>
      </c>
    </row>
    <row r="141" spans="1:7">
      <c r="A141" s="22" t="s">
        <v>866</v>
      </c>
      <c r="B141" s="6" t="s">
        <v>867</v>
      </c>
      <c r="C141" s="6" t="s">
        <v>867</v>
      </c>
      <c r="D141" s="6" t="s">
        <v>865</v>
      </c>
      <c r="E141" s="6" t="s">
        <v>90</v>
      </c>
      <c r="F141" s="6" t="s">
        <v>863</v>
      </c>
      <c r="G141" s="7" t="s">
        <v>90</v>
      </c>
    </row>
    <row r="142" spans="1:7">
      <c r="A142" s="23" t="s">
        <v>868</v>
      </c>
      <c r="B142" s="4" t="s">
        <v>869</v>
      </c>
      <c r="C142" s="4" t="s">
        <v>869</v>
      </c>
      <c r="D142" s="4" t="s">
        <v>404</v>
      </c>
      <c r="E142" s="4" t="s">
        <v>77</v>
      </c>
      <c r="F142" s="4" t="s">
        <v>870</v>
      </c>
      <c r="G142" s="5" t="s">
        <v>77</v>
      </c>
    </row>
    <row r="143" spans="1:7">
      <c r="A143" s="22" t="s">
        <v>871</v>
      </c>
      <c r="B143" s="6" t="s">
        <v>410</v>
      </c>
      <c r="C143" s="6" t="s">
        <v>410</v>
      </c>
      <c r="D143" s="6" t="s">
        <v>404</v>
      </c>
      <c r="E143" s="6" t="s">
        <v>77</v>
      </c>
      <c r="F143" s="6" t="s">
        <v>870</v>
      </c>
      <c r="G143" s="7" t="s">
        <v>84</v>
      </c>
    </row>
    <row r="144" spans="1:7">
      <c r="A144" s="23" t="s">
        <v>872</v>
      </c>
      <c r="B144" s="4" t="s">
        <v>393</v>
      </c>
      <c r="C144" s="4" t="s">
        <v>393</v>
      </c>
      <c r="D144" s="4" t="s">
        <v>404</v>
      </c>
      <c r="E144" s="4" t="s">
        <v>77</v>
      </c>
      <c r="F144" s="4" t="s">
        <v>870</v>
      </c>
      <c r="G144" s="5" t="s">
        <v>77</v>
      </c>
    </row>
    <row r="145" spans="1:7">
      <c r="A145" s="22" t="s">
        <v>873</v>
      </c>
      <c r="B145" s="6" t="s">
        <v>874</v>
      </c>
      <c r="C145" s="6" t="s">
        <v>874</v>
      </c>
      <c r="D145" s="6" t="s">
        <v>520</v>
      </c>
      <c r="E145" s="6" t="s">
        <v>112</v>
      </c>
      <c r="F145" s="6" t="s">
        <v>875</v>
      </c>
      <c r="G145" s="7" t="s">
        <v>112</v>
      </c>
    </row>
    <row r="146" spans="1:7">
      <c r="A146" s="23" t="s">
        <v>876</v>
      </c>
      <c r="B146" s="4" t="s">
        <v>154</v>
      </c>
      <c r="C146" s="4" t="s">
        <v>154</v>
      </c>
      <c r="D146" s="4" t="s">
        <v>517</v>
      </c>
      <c r="E146" s="4" t="s">
        <v>115</v>
      </c>
      <c r="F146" s="4" t="s">
        <v>875</v>
      </c>
      <c r="G146" s="5" t="s">
        <v>93</v>
      </c>
    </row>
    <row r="147" spans="1:7">
      <c r="A147" s="22" t="s">
        <v>877</v>
      </c>
      <c r="B147" s="6" t="s">
        <v>878</v>
      </c>
      <c r="C147" s="6" t="s">
        <v>878</v>
      </c>
      <c r="D147" s="6" t="s">
        <v>567</v>
      </c>
      <c r="E147" s="6" t="s">
        <v>90</v>
      </c>
      <c r="F147" s="6" t="s">
        <v>875</v>
      </c>
      <c r="G147" s="7" t="s">
        <v>90</v>
      </c>
    </row>
    <row r="148" spans="1:7">
      <c r="A148" s="23" t="s">
        <v>879</v>
      </c>
      <c r="B148" s="4" t="s">
        <v>880</v>
      </c>
      <c r="C148" s="4" t="s">
        <v>880</v>
      </c>
      <c r="D148" s="4" t="s">
        <v>517</v>
      </c>
      <c r="E148" s="4" t="s">
        <v>115</v>
      </c>
      <c r="F148" s="4" t="s">
        <v>875</v>
      </c>
      <c r="G148" s="5" t="s">
        <v>115</v>
      </c>
    </row>
    <row r="149" spans="1:7">
      <c r="A149" s="22" t="s">
        <v>881</v>
      </c>
      <c r="B149" s="6" t="s">
        <v>882</v>
      </c>
      <c r="C149" s="6" t="s">
        <v>882</v>
      </c>
      <c r="D149" s="6" t="s">
        <v>567</v>
      </c>
      <c r="E149" s="6" t="s">
        <v>90</v>
      </c>
      <c r="F149" s="6" t="s">
        <v>875</v>
      </c>
      <c r="G149" s="7" t="s">
        <v>90</v>
      </c>
    </row>
    <row r="150" spans="1:7">
      <c r="A150" s="23" t="s">
        <v>883</v>
      </c>
      <c r="B150" s="4" t="s">
        <v>884</v>
      </c>
      <c r="C150" s="4" t="s">
        <v>884</v>
      </c>
      <c r="D150" s="4" t="s">
        <v>510</v>
      </c>
      <c r="E150" s="4" t="s">
        <v>86</v>
      </c>
      <c r="F150" s="4" t="s">
        <v>875</v>
      </c>
      <c r="G150" s="5" t="s">
        <v>86</v>
      </c>
    </row>
    <row r="151" spans="1:7">
      <c r="A151" s="22" t="s">
        <v>885</v>
      </c>
      <c r="B151" s="6" t="s">
        <v>147</v>
      </c>
      <c r="C151" s="6" t="s">
        <v>147</v>
      </c>
      <c r="D151" s="6" t="s">
        <v>591</v>
      </c>
      <c r="E151" s="6" t="s">
        <v>98</v>
      </c>
      <c r="F151" s="6" t="s">
        <v>636</v>
      </c>
      <c r="G151" s="7" t="s">
        <v>98</v>
      </c>
    </row>
    <row r="152" spans="1:7">
      <c r="A152" s="23" t="s">
        <v>634</v>
      </c>
      <c r="B152" s="4" t="s">
        <v>886</v>
      </c>
      <c r="C152" s="4" t="s">
        <v>886</v>
      </c>
      <c r="D152" s="4" t="s">
        <v>636</v>
      </c>
      <c r="E152" s="4" t="s">
        <v>82</v>
      </c>
      <c r="F152" s="4" t="s">
        <v>636</v>
      </c>
      <c r="G152" s="5" t="s">
        <v>82</v>
      </c>
    </row>
    <row r="153" spans="1:7">
      <c r="A153" s="22" t="s">
        <v>887</v>
      </c>
      <c r="B153" s="6" t="s">
        <v>212</v>
      </c>
      <c r="C153" s="6" t="s">
        <v>212</v>
      </c>
      <c r="D153" s="6" t="s">
        <v>520</v>
      </c>
      <c r="E153" s="6" t="s">
        <v>116</v>
      </c>
      <c r="F153" s="6" t="s">
        <v>636</v>
      </c>
      <c r="G153" s="7" t="s">
        <v>116</v>
      </c>
    </row>
    <row r="154" spans="1:7">
      <c r="A154" s="23" t="s">
        <v>888</v>
      </c>
      <c r="B154" s="4" t="s">
        <v>139</v>
      </c>
      <c r="C154" s="4" t="s">
        <v>139</v>
      </c>
      <c r="D154" s="4" t="s">
        <v>515</v>
      </c>
      <c r="E154" s="4" t="s">
        <v>182</v>
      </c>
      <c r="F154" s="4" t="s">
        <v>636</v>
      </c>
      <c r="G154" s="5" t="s">
        <v>182</v>
      </c>
    </row>
    <row r="155" spans="1:7">
      <c r="A155" s="22" t="s">
        <v>889</v>
      </c>
      <c r="B155" s="6" t="s">
        <v>890</v>
      </c>
      <c r="C155" s="6" t="s">
        <v>890</v>
      </c>
      <c r="D155" s="6" t="s">
        <v>591</v>
      </c>
      <c r="E155" s="6" t="s">
        <v>98</v>
      </c>
      <c r="F155" s="6" t="s">
        <v>636</v>
      </c>
      <c r="G155" s="7" t="s">
        <v>98</v>
      </c>
    </row>
    <row r="156" spans="1:7">
      <c r="A156" s="23" t="s">
        <v>891</v>
      </c>
      <c r="B156" s="4" t="s">
        <v>892</v>
      </c>
      <c r="C156" s="4" t="s">
        <v>892</v>
      </c>
      <c r="D156" s="4" t="s">
        <v>515</v>
      </c>
      <c r="E156" s="4" t="s">
        <v>182</v>
      </c>
      <c r="F156" s="4" t="s">
        <v>636</v>
      </c>
      <c r="G156" s="5" t="s">
        <v>182</v>
      </c>
    </row>
    <row r="157" spans="1:7">
      <c r="A157" s="22" t="s">
        <v>893</v>
      </c>
      <c r="B157" s="6" t="s">
        <v>418</v>
      </c>
      <c r="C157" s="6" t="s">
        <v>418</v>
      </c>
      <c r="D157" s="6" t="s">
        <v>515</v>
      </c>
      <c r="E157" s="6" t="s">
        <v>182</v>
      </c>
      <c r="F157" s="6" t="s">
        <v>636</v>
      </c>
      <c r="G157" s="7" t="s">
        <v>182</v>
      </c>
    </row>
    <row r="158" spans="1:7">
      <c r="A158" s="23" t="s">
        <v>894</v>
      </c>
      <c r="B158" s="4" t="s">
        <v>895</v>
      </c>
      <c r="C158" s="4" t="s">
        <v>895</v>
      </c>
      <c r="D158" s="4" t="s">
        <v>404</v>
      </c>
      <c r="E158" s="4" t="s">
        <v>79</v>
      </c>
      <c r="F158" s="4" t="s">
        <v>636</v>
      </c>
      <c r="G158" s="5" t="s">
        <v>79</v>
      </c>
    </row>
    <row r="159" spans="1:7">
      <c r="A159" s="22" t="s">
        <v>896</v>
      </c>
      <c r="B159" s="6" t="s">
        <v>897</v>
      </c>
      <c r="C159" s="6" t="s">
        <v>897</v>
      </c>
      <c r="D159" s="6" t="s">
        <v>898</v>
      </c>
      <c r="E159" s="6" t="s">
        <v>82</v>
      </c>
      <c r="F159" s="6" t="s">
        <v>898</v>
      </c>
      <c r="G159" s="7" t="s">
        <v>82</v>
      </c>
    </row>
    <row r="160" spans="1:7">
      <c r="A160" s="23" t="s">
        <v>899</v>
      </c>
      <c r="B160" s="4" t="s">
        <v>287</v>
      </c>
      <c r="C160" s="4" t="s">
        <v>287</v>
      </c>
      <c r="D160" s="4" t="s">
        <v>520</v>
      </c>
      <c r="E160" s="4" t="s">
        <v>94</v>
      </c>
      <c r="F160" s="4" t="s">
        <v>900</v>
      </c>
      <c r="G160" s="5" t="s">
        <v>94</v>
      </c>
    </row>
    <row r="161" spans="1:7">
      <c r="A161" s="22" t="s">
        <v>901</v>
      </c>
      <c r="B161" s="6" t="s">
        <v>902</v>
      </c>
      <c r="C161" s="6" t="s">
        <v>902</v>
      </c>
      <c r="D161" s="6" t="s">
        <v>520</v>
      </c>
      <c r="E161" s="6" t="s">
        <v>94</v>
      </c>
      <c r="F161" s="6" t="s">
        <v>900</v>
      </c>
      <c r="G161" s="7" t="s">
        <v>94</v>
      </c>
    </row>
    <row r="162" spans="1:7">
      <c r="A162" s="23" t="s">
        <v>903</v>
      </c>
      <c r="B162" s="4" t="s">
        <v>238</v>
      </c>
      <c r="C162" s="4" t="s">
        <v>238</v>
      </c>
      <c r="D162" s="4" t="s">
        <v>510</v>
      </c>
      <c r="E162" s="4" t="s">
        <v>105</v>
      </c>
      <c r="F162" s="4" t="s">
        <v>900</v>
      </c>
      <c r="G162" s="5" t="s">
        <v>105</v>
      </c>
    </row>
    <row r="163" spans="1:7">
      <c r="A163" s="22" t="s">
        <v>904</v>
      </c>
      <c r="B163" s="6" t="s">
        <v>905</v>
      </c>
      <c r="C163" s="6" t="s">
        <v>905</v>
      </c>
      <c r="D163" s="6" t="s">
        <v>510</v>
      </c>
      <c r="E163" s="6" t="s">
        <v>105</v>
      </c>
      <c r="F163" s="6" t="s">
        <v>900</v>
      </c>
      <c r="G163" s="7" t="s">
        <v>105</v>
      </c>
    </row>
    <row r="164" spans="1:7">
      <c r="A164" s="23" t="s">
        <v>906</v>
      </c>
      <c r="B164" s="4" t="s">
        <v>907</v>
      </c>
      <c r="C164" s="4" t="s">
        <v>907</v>
      </c>
      <c r="D164" s="4" t="s">
        <v>510</v>
      </c>
      <c r="E164" s="4" t="s">
        <v>105</v>
      </c>
      <c r="F164" s="4" t="s">
        <v>900</v>
      </c>
      <c r="G164" s="5" t="s">
        <v>105</v>
      </c>
    </row>
    <row r="165" spans="1:7">
      <c r="A165" s="22" t="s">
        <v>908</v>
      </c>
      <c r="B165" s="6" t="s">
        <v>909</v>
      </c>
      <c r="C165" s="6" t="s">
        <v>909</v>
      </c>
      <c r="D165" s="6" t="s">
        <v>597</v>
      </c>
      <c r="E165" s="6" t="s">
        <v>93</v>
      </c>
      <c r="F165" s="6" t="s">
        <v>612</v>
      </c>
      <c r="G165" s="7" t="s">
        <v>93</v>
      </c>
    </row>
    <row r="166" spans="1:7">
      <c r="A166" s="23" t="s">
        <v>910</v>
      </c>
      <c r="B166" s="4" t="s">
        <v>911</v>
      </c>
      <c r="C166" s="4" t="s">
        <v>911</v>
      </c>
      <c r="D166" s="4" t="s">
        <v>612</v>
      </c>
      <c r="E166" s="4" t="s">
        <v>82</v>
      </c>
      <c r="F166" s="4" t="s">
        <v>612</v>
      </c>
      <c r="G166" s="5" t="s">
        <v>82</v>
      </c>
    </row>
    <row r="167" spans="1:7">
      <c r="A167" s="22" t="s">
        <v>912</v>
      </c>
      <c r="B167" s="6" t="s">
        <v>913</v>
      </c>
      <c r="C167" s="6" t="s">
        <v>913</v>
      </c>
      <c r="D167" s="6" t="s">
        <v>520</v>
      </c>
      <c r="E167" s="6" t="s">
        <v>85</v>
      </c>
      <c r="F167" s="6" t="s">
        <v>512</v>
      </c>
      <c r="G167" s="7" t="s">
        <v>85</v>
      </c>
    </row>
    <row r="168" spans="1:7">
      <c r="A168" s="23" t="s">
        <v>914</v>
      </c>
      <c r="B168" s="4" t="s">
        <v>915</v>
      </c>
      <c r="C168" s="4" t="s">
        <v>915</v>
      </c>
      <c r="D168" s="4" t="s">
        <v>512</v>
      </c>
      <c r="E168" s="4" t="s">
        <v>82</v>
      </c>
      <c r="F168" s="4" t="s">
        <v>512</v>
      </c>
      <c r="G168" s="5" t="s">
        <v>82</v>
      </c>
    </row>
    <row r="169" spans="1:7">
      <c r="A169" s="22" t="s">
        <v>916</v>
      </c>
      <c r="B169" s="6" t="s">
        <v>305</v>
      </c>
      <c r="C169" s="6" t="s">
        <v>305</v>
      </c>
      <c r="D169" s="6" t="s">
        <v>591</v>
      </c>
      <c r="E169" s="6" t="s">
        <v>182</v>
      </c>
      <c r="F169" s="6" t="s">
        <v>917</v>
      </c>
      <c r="G169" s="7" t="s">
        <v>182</v>
      </c>
    </row>
    <row r="170" spans="1:7">
      <c r="A170" s="23" t="s">
        <v>918</v>
      </c>
      <c r="B170" s="4" t="s">
        <v>420</v>
      </c>
      <c r="C170" s="4" t="s">
        <v>420</v>
      </c>
      <c r="D170" s="4" t="s">
        <v>591</v>
      </c>
      <c r="E170" s="4" t="s">
        <v>182</v>
      </c>
      <c r="F170" s="4" t="s">
        <v>917</v>
      </c>
      <c r="G170" s="5" t="s">
        <v>182</v>
      </c>
    </row>
    <row r="171" spans="1:7">
      <c r="A171" s="22" t="s">
        <v>919</v>
      </c>
      <c r="B171" s="6" t="s">
        <v>490</v>
      </c>
      <c r="C171" s="6" t="s">
        <v>490</v>
      </c>
      <c r="D171" s="6" t="s">
        <v>404</v>
      </c>
      <c r="E171" s="6" t="s">
        <v>86</v>
      </c>
      <c r="F171" s="6" t="s">
        <v>690</v>
      </c>
      <c r="G171" s="7" t="s">
        <v>105</v>
      </c>
    </row>
    <row r="172" spans="1:7">
      <c r="A172" s="23" t="s">
        <v>920</v>
      </c>
      <c r="B172" s="4" t="s">
        <v>921</v>
      </c>
      <c r="C172" s="4" t="s">
        <v>921</v>
      </c>
      <c r="D172" s="4" t="s">
        <v>404</v>
      </c>
      <c r="E172" s="4" t="s">
        <v>86</v>
      </c>
      <c r="F172" s="4" t="s">
        <v>690</v>
      </c>
      <c r="G172" s="5" t="s">
        <v>86</v>
      </c>
    </row>
    <row r="173" spans="1:7">
      <c r="A173" s="22" t="s">
        <v>922</v>
      </c>
      <c r="B173" s="6" t="s">
        <v>923</v>
      </c>
      <c r="C173" s="6" t="s">
        <v>923</v>
      </c>
      <c r="D173" s="6" t="s">
        <v>510</v>
      </c>
      <c r="E173" s="6" t="s">
        <v>98</v>
      </c>
      <c r="F173" s="6" t="s">
        <v>690</v>
      </c>
      <c r="G173" s="7" t="s">
        <v>98</v>
      </c>
    </row>
    <row r="174" spans="1:7">
      <c r="A174" s="23" t="s">
        <v>688</v>
      </c>
      <c r="B174" s="4" t="s">
        <v>924</v>
      </c>
      <c r="C174" s="4" t="s">
        <v>924</v>
      </c>
      <c r="D174" s="4" t="s">
        <v>690</v>
      </c>
      <c r="E174" s="4" t="s">
        <v>82</v>
      </c>
      <c r="F174" s="4" t="s">
        <v>690</v>
      </c>
      <c r="G174" s="5" t="s">
        <v>82</v>
      </c>
    </row>
    <row r="175" spans="1:7">
      <c r="A175" s="22" t="s">
        <v>823</v>
      </c>
      <c r="B175" s="6" t="s">
        <v>925</v>
      </c>
      <c r="C175" s="6" t="s">
        <v>925</v>
      </c>
      <c r="D175" s="6" t="s">
        <v>733</v>
      </c>
      <c r="E175" s="6" t="s">
        <v>90</v>
      </c>
      <c r="F175" s="6" t="s">
        <v>690</v>
      </c>
      <c r="G175" s="7" t="s">
        <v>90</v>
      </c>
    </row>
    <row r="176" spans="1:7">
      <c r="A176" s="23" t="s">
        <v>926</v>
      </c>
      <c r="B176" s="4" t="s">
        <v>314</v>
      </c>
      <c r="C176" s="4" t="s">
        <v>314</v>
      </c>
      <c r="D176" s="4" t="s">
        <v>515</v>
      </c>
      <c r="E176" s="4" t="s">
        <v>115</v>
      </c>
      <c r="F176" s="4" t="s">
        <v>690</v>
      </c>
      <c r="G176" s="5" t="s">
        <v>115</v>
      </c>
    </row>
    <row r="177" spans="1:7">
      <c r="A177" s="22" t="s">
        <v>927</v>
      </c>
      <c r="B177" s="6" t="s">
        <v>192</v>
      </c>
      <c r="C177" s="6" t="s">
        <v>192</v>
      </c>
      <c r="D177" s="6" t="s">
        <v>515</v>
      </c>
      <c r="E177" s="6" t="s">
        <v>115</v>
      </c>
      <c r="F177" s="6" t="s">
        <v>690</v>
      </c>
      <c r="G177" s="7" t="s">
        <v>115</v>
      </c>
    </row>
    <row r="178" spans="1:7">
      <c r="A178" s="23" t="s">
        <v>693</v>
      </c>
      <c r="B178" s="4" t="s">
        <v>928</v>
      </c>
      <c r="C178" s="4" t="s">
        <v>928</v>
      </c>
      <c r="D178" s="4" t="s">
        <v>733</v>
      </c>
      <c r="E178" s="4" t="s">
        <v>90</v>
      </c>
      <c r="F178" s="4" t="s">
        <v>690</v>
      </c>
      <c r="G178" s="5" t="s">
        <v>90</v>
      </c>
    </row>
    <row r="179" spans="1:7">
      <c r="A179" s="22" t="s">
        <v>929</v>
      </c>
      <c r="B179" s="6" t="s">
        <v>337</v>
      </c>
      <c r="C179" s="6" t="s">
        <v>337</v>
      </c>
      <c r="D179" s="6" t="s">
        <v>508</v>
      </c>
      <c r="E179" s="6" t="s">
        <v>90</v>
      </c>
      <c r="F179" s="6" t="s">
        <v>679</v>
      </c>
      <c r="G179" s="7" t="s">
        <v>90</v>
      </c>
    </row>
    <row r="180" spans="1:7">
      <c r="A180" s="23" t="s">
        <v>930</v>
      </c>
      <c r="B180" s="4" t="s">
        <v>130</v>
      </c>
      <c r="C180" s="4" t="s">
        <v>130</v>
      </c>
      <c r="D180" s="4" t="s">
        <v>508</v>
      </c>
      <c r="E180" s="4" t="s">
        <v>90</v>
      </c>
      <c r="F180" s="4" t="s">
        <v>679</v>
      </c>
      <c r="G180" s="5" t="s">
        <v>90</v>
      </c>
    </row>
    <row r="181" spans="1:7">
      <c r="A181" s="22" t="s">
        <v>931</v>
      </c>
      <c r="B181" s="6" t="s">
        <v>932</v>
      </c>
      <c r="C181" s="6" t="s">
        <v>932</v>
      </c>
      <c r="D181" s="6" t="s">
        <v>520</v>
      </c>
      <c r="E181" s="6" t="s">
        <v>77</v>
      </c>
      <c r="F181" s="6" t="s">
        <v>679</v>
      </c>
      <c r="G181" s="7" t="s">
        <v>79</v>
      </c>
    </row>
    <row r="182" spans="1:7">
      <c r="A182" s="23" t="s">
        <v>933</v>
      </c>
      <c r="B182" s="4" t="s">
        <v>934</v>
      </c>
      <c r="C182" s="4" t="s">
        <v>934</v>
      </c>
      <c r="D182" s="4" t="s">
        <v>406</v>
      </c>
      <c r="E182" s="4" t="s">
        <v>93</v>
      </c>
      <c r="F182" s="4" t="s">
        <v>605</v>
      </c>
      <c r="G182" s="5" t="s">
        <v>93</v>
      </c>
    </row>
    <row r="183" spans="1:7">
      <c r="A183" s="22" t="s">
        <v>935</v>
      </c>
      <c r="B183" s="6" t="s">
        <v>936</v>
      </c>
      <c r="C183" s="6" t="s">
        <v>936</v>
      </c>
      <c r="D183" s="6" t="s">
        <v>406</v>
      </c>
      <c r="E183" s="6" t="s">
        <v>93</v>
      </c>
      <c r="F183" s="6" t="s">
        <v>605</v>
      </c>
      <c r="G183" s="7" t="s">
        <v>93</v>
      </c>
    </row>
    <row r="184" spans="1:7">
      <c r="A184" s="23" t="s">
        <v>937</v>
      </c>
      <c r="B184" s="4" t="s">
        <v>938</v>
      </c>
      <c r="C184" s="4" t="s">
        <v>938</v>
      </c>
      <c r="D184" s="4" t="s">
        <v>404</v>
      </c>
      <c r="E184" s="4" t="s">
        <v>105</v>
      </c>
      <c r="F184" s="4" t="s">
        <v>605</v>
      </c>
      <c r="G184" s="5" t="s">
        <v>105</v>
      </c>
    </row>
    <row r="185" spans="1:7">
      <c r="A185" s="22" t="s">
        <v>853</v>
      </c>
      <c r="B185" s="6" t="s">
        <v>939</v>
      </c>
      <c r="C185" s="6" t="s">
        <v>939</v>
      </c>
      <c r="D185" s="6" t="s">
        <v>406</v>
      </c>
      <c r="E185" s="6" t="s">
        <v>93</v>
      </c>
      <c r="F185" s="6" t="s">
        <v>605</v>
      </c>
      <c r="G185" s="7" t="s">
        <v>93</v>
      </c>
    </row>
    <row r="186" spans="1:7">
      <c r="A186" s="23" t="s">
        <v>940</v>
      </c>
      <c r="B186" s="4" t="s">
        <v>941</v>
      </c>
      <c r="C186" s="4" t="s">
        <v>941</v>
      </c>
      <c r="D186" s="4" t="s">
        <v>394</v>
      </c>
      <c r="E186" s="4" t="s">
        <v>90</v>
      </c>
      <c r="F186" s="4" t="s">
        <v>504</v>
      </c>
      <c r="G186" s="5" t="s">
        <v>90</v>
      </c>
    </row>
    <row r="187" spans="1:7">
      <c r="A187" s="22" t="s">
        <v>942</v>
      </c>
      <c r="B187" s="6" t="s">
        <v>943</v>
      </c>
      <c r="C187" s="6" t="s">
        <v>943</v>
      </c>
      <c r="D187" s="6" t="s">
        <v>394</v>
      </c>
      <c r="E187" s="6" t="s">
        <v>90</v>
      </c>
      <c r="F187" s="6" t="s">
        <v>504</v>
      </c>
      <c r="G187" s="7" t="s">
        <v>90</v>
      </c>
    </row>
    <row r="188" spans="1:7">
      <c r="A188" s="23" t="s">
        <v>944</v>
      </c>
      <c r="B188" s="4" t="s">
        <v>466</v>
      </c>
      <c r="C188" s="4" t="s">
        <v>466</v>
      </c>
      <c r="D188" s="4" t="s">
        <v>394</v>
      </c>
      <c r="E188" s="4" t="s">
        <v>90</v>
      </c>
      <c r="F188" s="4" t="s">
        <v>504</v>
      </c>
      <c r="G188" s="5" t="s">
        <v>90</v>
      </c>
    </row>
    <row r="189" spans="1:7">
      <c r="A189" s="22" t="s">
        <v>945</v>
      </c>
      <c r="B189" s="6" t="s">
        <v>946</v>
      </c>
      <c r="C189" s="6" t="s">
        <v>946</v>
      </c>
      <c r="D189" s="6" t="s">
        <v>510</v>
      </c>
      <c r="E189" s="6" t="s">
        <v>182</v>
      </c>
      <c r="F189" s="6" t="s">
        <v>504</v>
      </c>
      <c r="G189" s="7" t="s">
        <v>182</v>
      </c>
    </row>
    <row r="190" spans="1:7">
      <c r="A190" s="23" t="s">
        <v>947</v>
      </c>
      <c r="B190" s="4" t="s">
        <v>425</v>
      </c>
      <c r="C190" s="4" t="s">
        <v>425</v>
      </c>
      <c r="D190" s="4" t="s">
        <v>591</v>
      </c>
      <c r="E190" s="4" t="s">
        <v>115</v>
      </c>
      <c r="F190" s="4" t="s">
        <v>504</v>
      </c>
      <c r="G190" s="5" t="s">
        <v>115</v>
      </c>
    </row>
    <row r="191" spans="1:7">
      <c r="A191" s="22" t="s">
        <v>948</v>
      </c>
      <c r="B191" s="6" t="s">
        <v>949</v>
      </c>
      <c r="C191" s="6" t="s">
        <v>949</v>
      </c>
      <c r="D191" s="6" t="s">
        <v>510</v>
      </c>
      <c r="E191" s="6" t="s">
        <v>182</v>
      </c>
      <c r="F191" s="6" t="s">
        <v>504</v>
      </c>
      <c r="G191" s="7" t="s">
        <v>182</v>
      </c>
    </row>
    <row r="192" spans="1:7">
      <c r="A192" s="23" t="s">
        <v>691</v>
      </c>
      <c r="B192" s="4" t="s">
        <v>950</v>
      </c>
      <c r="C192" s="4" t="s">
        <v>950</v>
      </c>
      <c r="D192" s="4" t="s">
        <v>504</v>
      </c>
      <c r="E192" s="4" t="s">
        <v>82</v>
      </c>
      <c r="F192" s="4" t="s">
        <v>504</v>
      </c>
      <c r="G192" s="5" t="s">
        <v>82</v>
      </c>
    </row>
    <row r="193" spans="1:7">
      <c r="A193" s="22" t="s">
        <v>951</v>
      </c>
      <c r="B193" s="6" t="s">
        <v>952</v>
      </c>
      <c r="C193" s="6" t="s">
        <v>952</v>
      </c>
      <c r="D193" s="6" t="s">
        <v>394</v>
      </c>
      <c r="E193" s="6" t="s">
        <v>90</v>
      </c>
      <c r="F193" s="6" t="s">
        <v>504</v>
      </c>
      <c r="G193" s="7" t="s">
        <v>90</v>
      </c>
    </row>
    <row r="194" spans="1:7">
      <c r="A194" s="23" t="s">
        <v>953</v>
      </c>
      <c r="B194" s="4" t="s">
        <v>954</v>
      </c>
      <c r="C194" s="4" t="s">
        <v>954</v>
      </c>
      <c r="D194" s="4" t="s">
        <v>394</v>
      </c>
      <c r="E194" s="4" t="s">
        <v>90</v>
      </c>
      <c r="F194" s="4" t="s">
        <v>504</v>
      </c>
      <c r="G194" s="5" t="s">
        <v>90</v>
      </c>
    </row>
    <row r="195" spans="1:7">
      <c r="A195" s="22" t="s">
        <v>955</v>
      </c>
      <c r="B195" s="6" t="s">
        <v>956</v>
      </c>
      <c r="C195" s="6" t="s">
        <v>956</v>
      </c>
      <c r="D195" s="6" t="s">
        <v>510</v>
      </c>
      <c r="E195" s="6" t="s">
        <v>182</v>
      </c>
      <c r="F195" s="6" t="s">
        <v>504</v>
      </c>
      <c r="G195" s="7" t="s">
        <v>182</v>
      </c>
    </row>
    <row r="196" spans="1:7">
      <c r="A196" s="23" t="s">
        <v>957</v>
      </c>
      <c r="B196" s="4" t="s">
        <v>958</v>
      </c>
      <c r="C196" s="4" t="s">
        <v>958</v>
      </c>
      <c r="D196" s="4" t="s">
        <v>510</v>
      </c>
      <c r="E196" s="4" t="s">
        <v>182</v>
      </c>
      <c r="F196" s="4" t="s">
        <v>504</v>
      </c>
      <c r="G196" s="5" t="s">
        <v>182</v>
      </c>
    </row>
    <row r="197" spans="1:7">
      <c r="A197" s="22" t="s">
        <v>959</v>
      </c>
      <c r="B197" s="6" t="s">
        <v>960</v>
      </c>
      <c r="C197" s="6" t="s">
        <v>960</v>
      </c>
      <c r="D197" s="6" t="s">
        <v>591</v>
      </c>
      <c r="E197" s="6" t="s">
        <v>115</v>
      </c>
      <c r="F197" s="6" t="s">
        <v>504</v>
      </c>
      <c r="G197" s="7" t="s">
        <v>115</v>
      </c>
    </row>
    <row r="198" spans="1:7">
      <c r="A198" s="23" t="s">
        <v>961</v>
      </c>
      <c r="B198" s="4" t="s">
        <v>962</v>
      </c>
      <c r="C198" s="4" t="s">
        <v>962</v>
      </c>
      <c r="D198" s="4" t="s">
        <v>591</v>
      </c>
      <c r="E198" s="4" t="s">
        <v>115</v>
      </c>
      <c r="F198" s="4" t="s">
        <v>504</v>
      </c>
      <c r="G198" s="5" t="s">
        <v>115</v>
      </c>
    </row>
    <row r="199" spans="1:7">
      <c r="A199" s="22" t="s">
        <v>963</v>
      </c>
      <c r="B199" s="6" t="s">
        <v>964</v>
      </c>
      <c r="C199" s="6" t="s">
        <v>964</v>
      </c>
      <c r="D199" s="6" t="s">
        <v>591</v>
      </c>
      <c r="E199" s="6" t="s">
        <v>115</v>
      </c>
      <c r="F199" s="6" t="s">
        <v>504</v>
      </c>
      <c r="G199" s="7" t="s">
        <v>115</v>
      </c>
    </row>
    <row r="200" spans="1:7">
      <c r="A200" s="23" t="s">
        <v>965</v>
      </c>
      <c r="B200" s="4" t="s">
        <v>966</v>
      </c>
      <c r="C200" s="4" t="s">
        <v>966</v>
      </c>
      <c r="D200" s="4" t="s">
        <v>394</v>
      </c>
      <c r="E200" s="4" t="s">
        <v>90</v>
      </c>
      <c r="F200" s="4" t="s">
        <v>504</v>
      </c>
      <c r="G200" s="5" t="s">
        <v>90</v>
      </c>
    </row>
    <row r="201" spans="1:7">
      <c r="A201" s="22" t="s">
        <v>967</v>
      </c>
      <c r="B201" s="6" t="s">
        <v>206</v>
      </c>
      <c r="C201" s="6" t="s">
        <v>206</v>
      </c>
      <c r="D201" s="6" t="s">
        <v>510</v>
      </c>
      <c r="E201" s="6" t="s">
        <v>182</v>
      </c>
      <c r="F201" s="6" t="s">
        <v>504</v>
      </c>
      <c r="G201" s="7" t="s">
        <v>182</v>
      </c>
    </row>
    <row r="202" spans="1:7">
      <c r="A202" s="23" t="s">
        <v>889</v>
      </c>
      <c r="B202" s="4" t="s">
        <v>968</v>
      </c>
      <c r="C202" s="4" t="s">
        <v>968</v>
      </c>
      <c r="D202" s="4" t="s">
        <v>591</v>
      </c>
      <c r="E202" s="4" t="s">
        <v>115</v>
      </c>
      <c r="F202" s="4" t="s">
        <v>504</v>
      </c>
      <c r="G202" s="5" t="s">
        <v>115</v>
      </c>
    </row>
    <row r="203" spans="1:7">
      <c r="A203" s="22" t="s">
        <v>904</v>
      </c>
      <c r="B203" s="6" t="s">
        <v>969</v>
      </c>
      <c r="C203" s="6" t="s">
        <v>969</v>
      </c>
      <c r="D203" s="6" t="s">
        <v>510</v>
      </c>
      <c r="E203" s="6" t="s">
        <v>182</v>
      </c>
      <c r="F203" s="6" t="s">
        <v>504</v>
      </c>
      <c r="G203" s="7" t="s">
        <v>182</v>
      </c>
    </row>
    <row r="204" spans="1:7">
      <c r="A204" s="23" t="s">
        <v>970</v>
      </c>
      <c r="B204" s="4" t="s">
        <v>971</v>
      </c>
      <c r="C204" s="4" t="s">
        <v>971</v>
      </c>
      <c r="D204" s="4" t="s">
        <v>717</v>
      </c>
      <c r="E204" s="4" t="s">
        <v>82</v>
      </c>
      <c r="F204" s="4" t="s">
        <v>717</v>
      </c>
      <c r="G204" s="5" t="s">
        <v>82</v>
      </c>
    </row>
    <row r="205" spans="1:7">
      <c r="A205" s="22" t="s">
        <v>972</v>
      </c>
      <c r="B205" s="6" t="s">
        <v>973</v>
      </c>
      <c r="C205" s="6" t="s">
        <v>973</v>
      </c>
      <c r="D205" s="6" t="s">
        <v>717</v>
      </c>
      <c r="E205" s="6" t="s">
        <v>82</v>
      </c>
      <c r="F205" s="6" t="s">
        <v>717</v>
      </c>
      <c r="G205" s="7" t="s">
        <v>82</v>
      </c>
    </row>
    <row r="206" spans="1:7">
      <c r="A206" s="23" t="s">
        <v>974</v>
      </c>
      <c r="B206" s="4" t="s">
        <v>975</v>
      </c>
      <c r="C206" s="4" t="s">
        <v>975</v>
      </c>
      <c r="D206" s="4" t="s">
        <v>717</v>
      </c>
      <c r="E206" s="4" t="s">
        <v>82</v>
      </c>
      <c r="F206" s="4" t="s">
        <v>717</v>
      </c>
      <c r="G206" s="5" t="s">
        <v>82</v>
      </c>
    </row>
    <row r="207" spans="1:7">
      <c r="A207" s="22" t="s">
        <v>976</v>
      </c>
      <c r="B207" s="6" t="s">
        <v>107</v>
      </c>
      <c r="C207" s="6" t="s">
        <v>107</v>
      </c>
      <c r="D207" s="6" t="s">
        <v>515</v>
      </c>
      <c r="E207" s="6" t="s">
        <v>93</v>
      </c>
      <c r="F207" s="6" t="s">
        <v>977</v>
      </c>
      <c r="G207" s="7" t="s">
        <v>93</v>
      </c>
    </row>
    <row r="208" spans="1:7">
      <c r="A208" s="23" t="s">
        <v>978</v>
      </c>
      <c r="B208" s="4" t="s">
        <v>979</v>
      </c>
      <c r="C208" s="4" t="s">
        <v>979</v>
      </c>
      <c r="D208" s="4" t="s">
        <v>404</v>
      </c>
      <c r="E208" s="4" t="s">
        <v>98</v>
      </c>
      <c r="F208" s="4" t="s">
        <v>977</v>
      </c>
      <c r="G208" s="5" t="s">
        <v>98</v>
      </c>
    </row>
    <row r="209" spans="1:7">
      <c r="A209" s="22" t="s">
        <v>980</v>
      </c>
      <c r="B209" s="6" t="s">
        <v>981</v>
      </c>
      <c r="C209" s="6" t="s">
        <v>981</v>
      </c>
      <c r="D209" s="6" t="s">
        <v>597</v>
      </c>
      <c r="E209" s="6" t="s">
        <v>90</v>
      </c>
      <c r="F209" s="6" t="s">
        <v>977</v>
      </c>
      <c r="G209" s="7" t="s">
        <v>90</v>
      </c>
    </row>
    <row r="210" spans="1:7">
      <c r="A210" s="23" t="s">
        <v>982</v>
      </c>
      <c r="B210" s="4" t="s">
        <v>983</v>
      </c>
      <c r="C210" s="4" t="s">
        <v>983</v>
      </c>
      <c r="D210" s="4" t="s">
        <v>515</v>
      </c>
      <c r="E210" s="4" t="s">
        <v>93</v>
      </c>
      <c r="F210" s="4" t="s">
        <v>977</v>
      </c>
      <c r="G210" s="5" t="s">
        <v>93</v>
      </c>
    </row>
    <row r="211" spans="1:7">
      <c r="A211" s="22" t="s">
        <v>984</v>
      </c>
      <c r="B211" s="6" t="s">
        <v>985</v>
      </c>
      <c r="C211" s="6" t="s">
        <v>985</v>
      </c>
      <c r="D211" s="6" t="s">
        <v>520</v>
      </c>
      <c r="E211" s="6" t="s">
        <v>86</v>
      </c>
      <c r="F211" s="6" t="s">
        <v>567</v>
      </c>
      <c r="G211" s="7" t="s">
        <v>86</v>
      </c>
    </row>
    <row r="212" spans="1:7">
      <c r="A212" s="23" t="s">
        <v>986</v>
      </c>
      <c r="B212" s="4" t="s">
        <v>987</v>
      </c>
      <c r="C212" s="4" t="s">
        <v>987</v>
      </c>
      <c r="D212" s="4" t="s">
        <v>517</v>
      </c>
      <c r="E212" s="4" t="s">
        <v>90</v>
      </c>
      <c r="F212" s="4" t="s">
        <v>567</v>
      </c>
      <c r="G212" s="5" t="s">
        <v>90</v>
      </c>
    </row>
    <row r="213" spans="1:7">
      <c r="A213" s="22" t="s">
        <v>988</v>
      </c>
      <c r="B213" s="6" t="s">
        <v>989</v>
      </c>
      <c r="C213" s="6" t="s">
        <v>989</v>
      </c>
      <c r="D213" s="6" t="s">
        <v>567</v>
      </c>
      <c r="E213" s="6" t="s">
        <v>82</v>
      </c>
      <c r="F213" s="6" t="s">
        <v>567</v>
      </c>
      <c r="G213" s="7" t="s">
        <v>82</v>
      </c>
    </row>
    <row r="214" spans="1:7">
      <c r="A214" s="23" t="s">
        <v>990</v>
      </c>
      <c r="B214" s="4" t="s">
        <v>456</v>
      </c>
      <c r="C214" s="4" t="s">
        <v>456</v>
      </c>
      <c r="D214" s="4" t="s">
        <v>510</v>
      </c>
      <c r="E214" s="4" t="s">
        <v>115</v>
      </c>
      <c r="F214" s="4" t="s">
        <v>567</v>
      </c>
      <c r="G214" s="5" t="s">
        <v>115</v>
      </c>
    </row>
    <row r="215" spans="1:7">
      <c r="A215" s="22" t="s">
        <v>991</v>
      </c>
      <c r="B215" s="6" t="s">
        <v>298</v>
      </c>
      <c r="C215" s="6" t="s">
        <v>298</v>
      </c>
      <c r="D215" s="6" t="s">
        <v>510</v>
      </c>
      <c r="E215" s="6" t="s">
        <v>115</v>
      </c>
      <c r="F215" s="6" t="s">
        <v>567</v>
      </c>
      <c r="G215" s="7" t="s">
        <v>115</v>
      </c>
    </row>
    <row r="216" spans="1:7">
      <c r="A216" s="23" t="s">
        <v>992</v>
      </c>
      <c r="B216" s="4" t="s">
        <v>993</v>
      </c>
      <c r="C216" s="4" t="s">
        <v>993</v>
      </c>
      <c r="D216" s="4" t="s">
        <v>510</v>
      </c>
      <c r="E216" s="4" t="s">
        <v>115</v>
      </c>
      <c r="F216" s="4" t="s">
        <v>567</v>
      </c>
      <c r="G216" s="5" t="s">
        <v>115</v>
      </c>
    </row>
    <row r="217" spans="1:7">
      <c r="A217" s="22" t="s">
        <v>994</v>
      </c>
      <c r="B217" s="6" t="s">
        <v>472</v>
      </c>
      <c r="C217" s="6" t="s">
        <v>472</v>
      </c>
      <c r="D217" s="6" t="s">
        <v>510</v>
      </c>
      <c r="E217" s="6" t="s">
        <v>115</v>
      </c>
      <c r="F217" s="6" t="s">
        <v>567</v>
      </c>
      <c r="G217" s="7" t="s">
        <v>115</v>
      </c>
    </row>
    <row r="218" spans="1:7">
      <c r="A218" s="23" t="s">
        <v>995</v>
      </c>
      <c r="B218" s="4" t="s">
        <v>267</v>
      </c>
      <c r="C218" s="4" t="s">
        <v>267</v>
      </c>
      <c r="D218" s="4" t="s">
        <v>632</v>
      </c>
      <c r="E218" s="4" t="s">
        <v>82</v>
      </c>
      <c r="F218" s="4" t="s">
        <v>632</v>
      </c>
      <c r="G218" s="5" t="s">
        <v>82</v>
      </c>
    </row>
    <row r="219" spans="1:7">
      <c r="A219" s="22" t="s">
        <v>996</v>
      </c>
      <c r="B219" s="6" t="s">
        <v>441</v>
      </c>
      <c r="C219" s="6" t="s">
        <v>441</v>
      </c>
      <c r="D219" s="6" t="s">
        <v>404</v>
      </c>
      <c r="E219" s="6" t="s">
        <v>182</v>
      </c>
      <c r="F219" s="6" t="s">
        <v>632</v>
      </c>
      <c r="G219" s="7" t="s">
        <v>182</v>
      </c>
    </row>
    <row r="220" spans="1:7">
      <c r="A220" s="23" t="s">
        <v>997</v>
      </c>
      <c r="B220" s="4" t="s">
        <v>998</v>
      </c>
      <c r="C220" s="4" t="s">
        <v>998</v>
      </c>
      <c r="D220" s="4" t="s">
        <v>591</v>
      </c>
      <c r="E220" s="4" t="s">
        <v>93</v>
      </c>
      <c r="F220" s="4" t="s">
        <v>632</v>
      </c>
      <c r="G220" s="5" t="s">
        <v>90</v>
      </c>
    </row>
    <row r="221" spans="1:7">
      <c r="A221" s="22" t="s">
        <v>999</v>
      </c>
      <c r="B221" s="6" t="s">
        <v>1000</v>
      </c>
      <c r="C221" s="6" t="s">
        <v>1000</v>
      </c>
      <c r="D221" s="6" t="s">
        <v>591</v>
      </c>
      <c r="E221" s="6" t="s">
        <v>93</v>
      </c>
      <c r="F221" s="6" t="s">
        <v>632</v>
      </c>
      <c r="G221" s="7" t="s">
        <v>93</v>
      </c>
    </row>
    <row r="222" spans="1:7">
      <c r="A222" s="23" t="s">
        <v>1001</v>
      </c>
      <c r="B222" s="4" t="s">
        <v>1002</v>
      </c>
      <c r="C222" s="4" t="s">
        <v>1002</v>
      </c>
      <c r="D222" s="4" t="s">
        <v>591</v>
      </c>
      <c r="E222" s="4" t="s">
        <v>93</v>
      </c>
      <c r="F222" s="4" t="s">
        <v>632</v>
      </c>
      <c r="G222" s="5" t="s">
        <v>93</v>
      </c>
    </row>
    <row r="223" spans="1:7">
      <c r="A223" s="22" t="s">
        <v>1003</v>
      </c>
      <c r="B223" s="6" t="s">
        <v>1004</v>
      </c>
      <c r="C223" s="6" t="s">
        <v>1004</v>
      </c>
      <c r="D223" s="6" t="s">
        <v>591</v>
      </c>
      <c r="E223" s="6" t="s">
        <v>93</v>
      </c>
      <c r="F223" s="6" t="s">
        <v>632</v>
      </c>
      <c r="G223" s="7" t="s">
        <v>93</v>
      </c>
    </row>
    <row r="224" spans="1:7">
      <c r="A224" s="23" t="s">
        <v>1005</v>
      </c>
      <c r="B224" s="4" t="s">
        <v>54</v>
      </c>
      <c r="C224" s="4" t="s">
        <v>54</v>
      </c>
      <c r="D224" s="4" t="s">
        <v>591</v>
      </c>
      <c r="E224" s="4" t="s">
        <v>93</v>
      </c>
      <c r="F224" s="4" t="s">
        <v>632</v>
      </c>
      <c r="G224" s="5" t="s">
        <v>93</v>
      </c>
    </row>
    <row r="225" spans="1:7">
      <c r="A225" s="22" t="s">
        <v>1006</v>
      </c>
      <c r="B225" s="6" t="s">
        <v>1007</v>
      </c>
      <c r="C225" s="6" t="s">
        <v>1007</v>
      </c>
      <c r="D225" s="6" t="s">
        <v>1008</v>
      </c>
      <c r="E225" s="6" t="s">
        <v>82</v>
      </c>
      <c r="F225" s="6" t="s">
        <v>1008</v>
      </c>
      <c r="G225" s="7" t="s">
        <v>82</v>
      </c>
    </row>
    <row r="226" spans="1:7">
      <c r="A226" s="23" t="s">
        <v>1009</v>
      </c>
      <c r="B226" s="4" t="s">
        <v>1010</v>
      </c>
      <c r="C226" s="4" t="s">
        <v>1010</v>
      </c>
      <c r="D226" s="4" t="s">
        <v>520</v>
      </c>
      <c r="E226" s="4" t="s">
        <v>105</v>
      </c>
      <c r="F226" s="4" t="s">
        <v>1008</v>
      </c>
      <c r="G226" s="5" t="s">
        <v>105</v>
      </c>
    </row>
    <row r="227" spans="1:7">
      <c r="A227" s="22" t="s">
        <v>1011</v>
      </c>
      <c r="B227" s="6" t="s">
        <v>1012</v>
      </c>
      <c r="C227" s="6" t="s">
        <v>1012</v>
      </c>
      <c r="D227" s="6" t="s">
        <v>406</v>
      </c>
      <c r="E227" s="6" t="s">
        <v>90</v>
      </c>
      <c r="F227" s="6" t="s">
        <v>1008</v>
      </c>
      <c r="G227" s="7" t="s">
        <v>90</v>
      </c>
    </row>
    <row r="228" spans="1:7">
      <c r="A228" s="23" t="s">
        <v>1013</v>
      </c>
      <c r="B228" s="4" t="s">
        <v>149</v>
      </c>
      <c r="C228" s="4" t="s">
        <v>149</v>
      </c>
      <c r="D228" s="4" t="s">
        <v>1008</v>
      </c>
      <c r="E228" s="4" t="s">
        <v>82</v>
      </c>
      <c r="F228" s="4" t="s">
        <v>1008</v>
      </c>
      <c r="G228" s="5" t="s">
        <v>82</v>
      </c>
    </row>
    <row r="229" spans="1:7">
      <c r="A229" s="22" t="s">
        <v>1014</v>
      </c>
      <c r="B229" s="6" t="s">
        <v>101</v>
      </c>
      <c r="C229" s="6" t="s">
        <v>101</v>
      </c>
      <c r="D229" s="6" t="s">
        <v>520</v>
      </c>
      <c r="E229" s="6" t="s">
        <v>105</v>
      </c>
      <c r="F229" s="6" t="s">
        <v>1008</v>
      </c>
      <c r="G229" s="7" t="s">
        <v>105</v>
      </c>
    </row>
    <row r="230" spans="1:7">
      <c r="A230" s="23" t="s">
        <v>1015</v>
      </c>
      <c r="B230" s="4" t="s">
        <v>1016</v>
      </c>
      <c r="C230" s="4" t="s">
        <v>1016</v>
      </c>
      <c r="D230" s="4" t="s">
        <v>520</v>
      </c>
      <c r="E230" s="4" t="s">
        <v>105</v>
      </c>
      <c r="F230" s="4" t="s">
        <v>1008</v>
      </c>
      <c r="G230" s="5" t="s">
        <v>105</v>
      </c>
    </row>
    <row r="231" spans="1:7">
      <c r="A231" s="22" t="s">
        <v>1017</v>
      </c>
      <c r="B231" s="6" t="s">
        <v>271</v>
      </c>
      <c r="C231" s="6" t="s">
        <v>271</v>
      </c>
      <c r="D231" s="6" t="s">
        <v>406</v>
      </c>
      <c r="E231" s="6" t="s">
        <v>90</v>
      </c>
      <c r="F231" s="6" t="s">
        <v>1008</v>
      </c>
      <c r="G231" s="7" t="s">
        <v>90</v>
      </c>
    </row>
    <row r="232" spans="1:7">
      <c r="A232" s="23" t="s">
        <v>1018</v>
      </c>
      <c r="B232" s="4" t="s">
        <v>48</v>
      </c>
      <c r="C232" s="4" t="s">
        <v>48</v>
      </c>
      <c r="D232" s="4" t="s">
        <v>649</v>
      </c>
      <c r="E232" s="4" t="s">
        <v>82</v>
      </c>
      <c r="F232" s="4" t="s">
        <v>649</v>
      </c>
      <c r="G232" s="5" t="s">
        <v>82</v>
      </c>
    </row>
    <row r="233" spans="1:7">
      <c r="A233" s="22" t="s">
        <v>1019</v>
      </c>
      <c r="B233" s="6" t="s">
        <v>1020</v>
      </c>
      <c r="C233" s="6" t="s">
        <v>1020</v>
      </c>
      <c r="D233" s="6" t="s">
        <v>510</v>
      </c>
      <c r="E233" s="6" t="s">
        <v>93</v>
      </c>
      <c r="F233" s="6" t="s">
        <v>733</v>
      </c>
      <c r="G233" s="7" t="s">
        <v>93</v>
      </c>
    </row>
    <row r="234" spans="1:7">
      <c r="A234" s="23" t="s">
        <v>1021</v>
      </c>
      <c r="B234" s="4" t="s">
        <v>1022</v>
      </c>
      <c r="C234" s="4" t="s">
        <v>1022</v>
      </c>
      <c r="D234" s="4" t="s">
        <v>520</v>
      </c>
      <c r="E234" s="4" t="s">
        <v>98</v>
      </c>
      <c r="F234" s="4" t="s">
        <v>733</v>
      </c>
      <c r="G234" s="5" t="s">
        <v>98</v>
      </c>
    </row>
    <row r="235" spans="1:7">
      <c r="A235" s="22" t="s">
        <v>1023</v>
      </c>
      <c r="B235" s="6" t="s">
        <v>294</v>
      </c>
      <c r="C235" s="6" t="s">
        <v>294</v>
      </c>
      <c r="D235" s="6" t="s">
        <v>510</v>
      </c>
      <c r="E235" s="6" t="s">
        <v>93</v>
      </c>
      <c r="F235" s="6" t="s">
        <v>733</v>
      </c>
      <c r="G235" s="7" t="s">
        <v>93</v>
      </c>
    </row>
    <row r="236" spans="1:7">
      <c r="A236" s="23" t="s">
        <v>1024</v>
      </c>
      <c r="B236" s="4" t="s">
        <v>258</v>
      </c>
      <c r="C236" s="4" t="s">
        <v>258</v>
      </c>
      <c r="D236" s="4" t="s">
        <v>510</v>
      </c>
      <c r="E236" s="4" t="s">
        <v>93</v>
      </c>
      <c r="F236" s="4" t="s">
        <v>733</v>
      </c>
      <c r="G236" s="5" t="s">
        <v>93</v>
      </c>
    </row>
    <row r="237" spans="1:7">
      <c r="A237" s="22" t="s">
        <v>1025</v>
      </c>
      <c r="B237" s="6" t="s">
        <v>1026</v>
      </c>
      <c r="C237" s="6" t="s">
        <v>1026</v>
      </c>
      <c r="D237" s="6" t="s">
        <v>520</v>
      </c>
      <c r="E237" s="6" t="s">
        <v>98</v>
      </c>
      <c r="F237" s="6" t="s">
        <v>733</v>
      </c>
      <c r="G237" s="7" t="s">
        <v>98</v>
      </c>
    </row>
    <row r="238" spans="1:7">
      <c r="A238" s="23" t="s">
        <v>1027</v>
      </c>
      <c r="B238" s="4" t="s">
        <v>223</v>
      </c>
      <c r="C238" s="4" t="s">
        <v>223</v>
      </c>
      <c r="D238" s="4" t="s">
        <v>515</v>
      </c>
      <c r="E238" s="4" t="s">
        <v>90</v>
      </c>
      <c r="F238" s="4" t="s">
        <v>733</v>
      </c>
      <c r="G238" s="5" t="s">
        <v>90</v>
      </c>
    </row>
    <row r="239" spans="1:7">
      <c r="A239" s="22" t="s">
        <v>1028</v>
      </c>
      <c r="B239" s="6" t="s">
        <v>1029</v>
      </c>
      <c r="C239" s="6" t="s">
        <v>1029</v>
      </c>
      <c r="D239" s="6" t="s">
        <v>404</v>
      </c>
      <c r="E239" s="6" t="s">
        <v>115</v>
      </c>
      <c r="F239" s="6" t="s">
        <v>733</v>
      </c>
      <c r="G239" s="7" t="s">
        <v>115</v>
      </c>
    </row>
    <row r="240" spans="1:7">
      <c r="A240" s="23" t="s">
        <v>1030</v>
      </c>
      <c r="B240" s="4" t="s">
        <v>1031</v>
      </c>
      <c r="C240" s="4" t="s">
        <v>1031</v>
      </c>
      <c r="D240" s="4" t="s">
        <v>515</v>
      </c>
      <c r="E240" s="4" t="s">
        <v>90</v>
      </c>
      <c r="F240" s="4" t="s">
        <v>733</v>
      </c>
      <c r="G240" s="5" t="s">
        <v>90</v>
      </c>
    </row>
    <row r="241" spans="1:7">
      <c r="A241" s="22" t="s">
        <v>1032</v>
      </c>
      <c r="B241" s="6" t="s">
        <v>1033</v>
      </c>
      <c r="C241" s="6" t="s">
        <v>1033</v>
      </c>
      <c r="D241" s="6" t="s">
        <v>515</v>
      </c>
      <c r="E241" s="6" t="s">
        <v>90</v>
      </c>
      <c r="F241" s="6" t="s">
        <v>733</v>
      </c>
      <c r="G241" s="7" t="s">
        <v>90</v>
      </c>
    </row>
    <row r="242" spans="1:7">
      <c r="A242" s="23" t="s">
        <v>1034</v>
      </c>
      <c r="B242" s="4" t="s">
        <v>1035</v>
      </c>
      <c r="C242" s="4" t="s">
        <v>1035</v>
      </c>
      <c r="D242" s="4" t="s">
        <v>510</v>
      </c>
      <c r="E242" s="4" t="s">
        <v>93</v>
      </c>
      <c r="F242" s="4" t="s">
        <v>733</v>
      </c>
      <c r="G242" s="5" t="s">
        <v>93</v>
      </c>
    </row>
    <row r="243" spans="1:7">
      <c r="A243" s="22" t="s">
        <v>1036</v>
      </c>
      <c r="B243" s="6" t="s">
        <v>474</v>
      </c>
      <c r="C243" s="6" t="s">
        <v>474</v>
      </c>
      <c r="D243" s="6" t="s">
        <v>515</v>
      </c>
      <c r="E243" s="6" t="s">
        <v>90</v>
      </c>
      <c r="F243" s="6" t="s">
        <v>733</v>
      </c>
      <c r="G243" s="7" t="s">
        <v>90</v>
      </c>
    </row>
    <row r="244" spans="1:7">
      <c r="A244" s="23" t="s">
        <v>1037</v>
      </c>
      <c r="B244" s="4" t="s">
        <v>1038</v>
      </c>
      <c r="C244" s="4" t="s">
        <v>1038</v>
      </c>
      <c r="D244" s="4" t="s">
        <v>404</v>
      </c>
      <c r="E244" s="4" t="s">
        <v>115</v>
      </c>
      <c r="F244" s="4" t="s">
        <v>733</v>
      </c>
      <c r="G244" s="5" t="s">
        <v>115</v>
      </c>
    </row>
    <row r="245" spans="1:7">
      <c r="A245" s="22" t="s">
        <v>1039</v>
      </c>
      <c r="B245" s="6" t="s">
        <v>1040</v>
      </c>
      <c r="C245" s="6" t="s">
        <v>1040</v>
      </c>
      <c r="D245" s="6" t="s">
        <v>510</v>
      </c>
      <c r="E245" s="6" t="s">
        <v>93</v>
      </c>
      <c r="F245" s="6" t="s">
        <v>733</v>
      </c>
      <c r="G245" s="7" t="s">
        <v>93</v>
      </c>
    </row>
    <row r="246" spans="1:7">
      <c r="A246" s="23" t="s">
        <v>1041</v>
      </c>
      <c r="B246" s="4" t="s">
        <v>1042</v>
      </c>
      <c r="C246" s="4" t="s">
        <v>1042</v>
      </c>
      <c r="D246" s="4" t="s">
        <v>510</v>
      </c>
      <c r="E246" s="4" t="s">
        <v>93</v>
      </c>
      <c r="F246" s="4" t="s">
        <v>733</v>
      </c>
      <c r="G246" s="5" t="s">
        <v>93</v>
      </c>
    </row>
    <row r="247" spans="1:7">
      <c r="A247" s="22" t="s">
        <v>1043</v>
      </c>
      <c r="B247" s="6" t="s">
        <v>482</v>
      </c>
      <c r="C247" s="6" t="s">
        <v>482</v>
      </c>
      <c r="D247" s="6" t="s">
        <v>404</v>
      </c>
      <c r="E247" s="6" t="s">
        <v>115</v>
      </c>
      <c r="F247" s="6" t="s">
        <v>733</v>
      </c>
      <c r="G247" s="7" t="s">
        <v>115</v>
      </c>
    </row>
    <row r="248" spans="1:7">
      <c r="A248" s="23" t="s">
        <v>1044</v>
      </c>
      <c r="B248" s="4" t="s">
        <v>1045</v>
      </c>
      <c r="C248" s="4" t="s">
        <v>1045</v>
      </c>
      <c r="D248" s="4" t="s">
        <v>510</v>
      </c>
      <c r="E248" s="4" t="s">
        <v>93</v>
      </c>
      <c r="F248" s="4" t="s">
        <v>733</v>
      </c>
      <c r="G248" s="5" t="s">
        <v>93</v>
      </c>
    </row>
    <row r="249" spans="1:7">
      <c r="A249" s="22" t="s">
        <v>1046</v>
      </c>
      <c r="B249" s="6" t="s">
        <v>277</v>
      </c>
      <c r="C249" s="6" t="s">
        <v>277</v>
      </c>
      <c r="D249" s="6" t="s">
        <v>515</v>
      </c>
      <c r="E249" s="6" t="s">
        <v>90</v>
      </c>
      <c r="F249" s="6" t="s">
        <v>733</v>
      </c>
      <c r="G249" s="7" t="s">
        <v>90</v>
      </c>
    </row>
    <row r="250" spans="1:7">
      <c r="A250" s="23" t="s">
        <v>769</v>
      </c>
      <c r="B250" s="4" t="s">
        <v>64</v>
      </c>
      <c r="C250" s="4" t="s">
        <v>64</v>
      </c>
      <c r="D250" s="4" t="s">
        <v>515</v>
      </c>
      <c r="E250" s="4" t="s">
        <v>90</v>
      </c>
      <c r="F250" s="4" t="s">
        <v>733</v>
      </c>
      <c r="G250" s="5" t="s">
        <v>90</v>
      </c>
    </row>
    <row r="251" spans="1:7">
      <c r="A251" s="22" t="s">
        <v>1047</v>
      </c>
      <c r="B251" s="6" t="s">
        <v>1048</v>
      </c>
      <c r="C251" s="6" t="s">
        <v>1048</v>
      </c>
      <c r="D251" s="6" t="s">
        <v>508</v>
      </c>
      <c r="E251" s="6" t="s">
        <v>82</v>
      </c>
      <c r="F251" s="6" t="s">
        <v>508</v>
      </c>
      <c r="G251" s="7" t="s">
        <v>82</v>
      </c>
    </row>
    <row r="252" spans="1:7">
      <c r="A252" s="23" t="s">
        <v>1049</v>
      </c>
      <c r="B252" s="4" t="s">
        <v>1050</v>
      </c>
      <c r="C252" s="4" t="s">
        <v>1050</v>
      </c>
      <c r="D252" s="4" t="s">
        <v>508</v>
      </c>
      <c r="E252" s="4" t="s">
        <v>82</v>
      </c>
      <c r="F252" s="4" t="s">
        <v>508</v>
      </c>
      <c r="G252" s="5" t="s">
        <v>82</v>
      </c>
    </row>
    <row r="253" spans="1:7">
      <c r="A253" s="22" t="s">
        <v>1051</v>
      </c>
      <c r="B253" s="6" t="s">
        <v>1052</v>
      </c>
      <c r="C253" s="6" t="s">
        <v>1052</v>
      </c>
      <c r="D253" s="6" t="s">
        <v>508</v>
      </c>
      <c r="E253" s="6" t="s">
        <v>82</v>
      </c>
      <c r="F253" s="6" t="s">
        <v>508</v>
      </c>
      <c r="G253" s="7" t="s">
        <v>82</v>
      </c>
    </row>
    <row r="254" spans="1:7">
      <c r="A254" s="23" t="s">
        <v>1053</v>
      </c>
      <c r="B254" s="4" t="s">
        <v>1054</v>
      </c>
      <c r="C254" s="4" t="s">
        <v>1054</v>
      </c>
      <c r="D254" s="4" t="s">
        <v>508</v>
      </c>
      <c r="E254" s="4" t="s">
        <v>82</v>
      </c>
      <c r="F254" s="4" t="s">
        <v>508</v>
      </c>
      <c r="G254" s="5" t="s">
        <v>82</v>
      </c>
    </row>
    <row r="255" spans="1:7">
      <c r="A255" s="22" t="s">
        <v>1055</v>
      </c>
      <c r="B255" s="6" t="s">
        <v>1056</v>
      </c>
      <c r="C255" s="6" t="s">
        <v>1056</v>
      </c>
      <c r="D255" s="6" t="s">
        <v>508</v>
      </c>
      <c r="E255" s="6" t="s">
        <v>82</v>
      </c>
      <c r="F255" s="6" t="s">
        <v>508</v>
      </c>
      <c r="G255" s="7" t="s">
        <v>82</v>
      </c>
    </row>
    <row r="256" spans="1:7">
      <c r="A256" s="23" t="s">
        <v>1057</v>
      </c>
      <c r="B256" s="4" t="s">
        <v>1058</v>
      </c>
      <c r="C256" s="4" t="s">
        <v>1058</v>
      </c>
      <c r="D256" s="4" t="s">
        <v>591</v>
      </c>
      <c r="E256" s="4" t="s">
        <v>90</v>
      </c>
      <c r="F256" s="4" t="s">
        <v>394</v>
      </c>
      <c r="G256" s="5" t="s">
        <v>90</v>
      </c>
    </row>
    <row r="257" spans="1:7">
      <c r="A257" s="22" t="s">
        <v>1059</v>
      </c>
      <c r="B257" s="6" t="s">
        <v>1060</v>
      </c>
      <c r="C257" s="6" t="s">
        <v>1060</v>
      </c>
      <c r="D257" s="6" t="s">
        <v>591</v>
      </c>
      <c r="E257" s="6" t="s">
        <v>90</v>
      </c>
      <c r="F257" s="6" t="s">
        <v>394</v>
      </c>
      <c r="G257" s="7" t="s">
        <v>90</v>
      </c>
    </row>
    <row r="258" spans="1:7">
      <c r="A258" s="23" t="s">
        <v>1061</v>
      </c>
      <c r="B258" s="4" t="s">
        <v>1062</v>
      </c>
      <c r="C258" s="4" t="s">
        <v>1062</v>
      </c>
      <c r="D258" s="4" t="s">
        <v>591</v>
      </c>
      <c r="E258" s="4" t="s">
        <v>90</v>
      </c>
      <c r="F258" s="4" t="s">
        <v>394</v>
      </c>
      <c r="G258" s="5" t="s">
        <v>90</v>
      </c>
    </row>
    <row r="259" spans="1:7">
      <c r="A259" s="22" t="s">
        <v>1063</v>
      </c>
      <c r="B259" s="6" t="s">
        <v>1064</v>
      </c>
      <c r="C259" s="6" t="s">
        <v>1064</v>
      </c>
      <c r="D259" s="6" t="s">
        <v>394</v>
      </c>
      <c r="E259" s="6" t="s">
        <v>82</v>
      </c>
      <c r="F259" s="6" t="s">
        <v>394</v>
      </c>
      <c r="G259" s="7" t="s">
        <v>82</v>
      </c>
    </row>
    <row r="260" spans="1:7">
      <c r="A260" s="23" t="s">
        <v>1065</v>
      </c>
      <c r="B260" s="4" t="s">
        <v>458</v>
      </c>
      <c r="C260" s="4" t="s">
        <v>458</v>
      </c>
      <c r="D260" s="4" t="s">
        <v>520</v>
      </c>
      <c r="E260" s="4" t="s">
        <v>182</v>
      </c>
      <c r="F260" s="4" t="s">
        <v>394</v>
      </c>
      <c r="G260" s="5" t="s">
        <v>182</v>
      </c>
    </row>
    <row r="261" spans="1:7">
      <c r="A261" s="22" t="s">
        <v>1066</v>
      </c>
      <c r="B261" s="6" t="s">
        <v>285</v>
      </c>
      <c r="C261" s="6" t="s">
        <v>285</v>
      </c>
      <c r="D261" s="6" t="s">
        <v>520</v>
      </c>
      <c r="E261" s="6" t="s">
        <v>182</v>
      </c>
      <c r="F261" s="6" t="s">
        <v>394</v>
      </c>
      <c r="G261" s="7" t="s">
        <v>182</v>
      </c>
    </row>
    <row r="262" spans="1:7">
      <c r="A262" s="23" t="s">
        <v>1067</v>
      </c>
      <c r="B262" s="4" t="s">
        <v>1068</v>
      </c>
      <c r="C262" s="4" t="s">
        <v>1068</v>
      </c>
      <c r="D262" s="4" t="s">
        <v>591</v>
      </c>
      <c r="E262" s="4" t="s">
        <v>90</v>
      </c>
      <c r="F262" s="4" t="s">
        <v>394</v>
      </c>
      <c r="G262" s="5" t="s">
        <v>90</v>
      </c>
    </row>
    <row r="263" spans="1:7">
      <c r="A263" s="22" t="s">
        <v>1069</v>
      </c>
      <c r="B263" s="6" t="s">
        <v>1070</v>
      </c>
      <c r="C263" s="6" t="s">
        <v>1070</v>
      </c>
      <c r="D263" s="6" t="s">
        <v>520</v>
      </c>
      <c r="E263" s="6" t="s">
        <v>182</v>
      </c>
      <c r="F263" s="6" t="s">
        <v>394</v>
      </c>
      <c r="G263" s="7" t="s">
        <v>182</v>
      </c>
    </row>
    <row r="264" spans="1:7">
      <c r="A264" s="23" t="s">
        <v>1071</v>
      </c>
      <c r="B264" s="4" t="s">
        <v>1072</v>
      </c>
      <c r="C264" s="4" t="s">
        <v>1072</v>
      </c>
      <c r="D264" s="4" t="s">
        <v>394</v>
      </c>
      <c r="E264" s="4" t="s">
        <v>82</v>
      </c>
      <c r="F264" s="4" t="s">
        <v>394</v>
      </c>
      <c r="G264" s="5" t="s">
        <v>82</v>
      </c>
    </row>
    <row r="265" spans="1:7">
      <c r="A265" s="22" t="s">
        <v>1073</v>
      </c>
      <c r="B265" s="6" t="s">
        <v>1074</v>
      </c>
      <c r="C265" s="6" t="s">
        <v>1074</v>
      </c>
      <c r="D265" s="6" t="s">
        <v>591</v>
      </c>
      <c r="E265" s="6" t="s">
        <v>90</v>
      </c>
      <c r="F265" s="6" t="s">
        <v>394</v>
      </c>
      <c r="G265" s="7" t="s">
        <v>90</v>
      </c>
    </row>
    <row r="266" spans="1:7">
      <c r="A266" s="23" t="s">
        <v>1075</v>
      </c>
      <c r="B266" s="4" t="s">
        <v>428</v>
      </c>
      <c r="C266" s="4" t="s">
        <v>428</v>
      </c>
      <c r="D266" s="4" t="s">
        <v>394</v>
      </c>
      <c r="E266" s="4" t="s">
        <v>82</v>
      </c>
      <c r="F266" s="4" t="s">
        <v>394</v>
      </c>
      <c r="G266" s="5" t="s">
        <v>82</v>
      </c>
    </row>
    <row r="267" spans="1:7">
      <c r="A267" s="22" t="s">
        <v>1076</v>
      </c>
      <c r="B267" s="6" t="s">
        <v>151</v>
      </c>
      <c r="C267" s="6" t="s">
        <v>151</v>
      </c>
      <c r="D267" s="6" t="s">
        <v>597</v>
      </c>
      <c r="E267" s="6" t="s">
        <v>82</v>
      </c>
      <c r="F267" s="6" t="s">
        <v>597</v>
      </c>
      <c r="G267" s="7" t="s">
        <v>82</v>
      </c>
    </row>
    <row r="268" spans="1:7">
      <c r="A268" s="23" t="s">
        <v>1077</v>
      </c>
      <c r="B268" s="4" t="s">
        <v>1078</v>
      </c>
      <c r="C268" s="4" t="s">
        <v>1078</v>
      </c>
      <c r="D268" s="4" t="s">
        <v>404</v>
      </c>
      <c r="E268" s="4" t="s">
        <v>93</v>
      </c>
      <c r="F268" s="4" t="s">
        <v>597</v>
      </c>
      <c r="G268" s="5" t="s">
        <v>93</v>
      </c>
    </row>
    <row r="269" spans="1:7">
      <c r="A269" s="22" t="s">
        <v>1079</v>
      </c>
      <c r="B269" s="6" t="s">
        <v>1080</v>
      </c>
      <c r="C269" s="6" t="s">
        <v>1080</v>
      </c>
      <c r="D269" s="6" t="s">
        <v>597</v>
      </c>
      <c r="E269" s="6" t="s">
        <v>82</v>
      </c>
      <c r="F269" s="6" t="s">
        <v>597</v>
      </c>
      <c r="G269" s="7" t="s">
        <v>82</v>
      </c>
    </row>
    <row r="270" spans="1:7">
      <c r="A270" s="23" t="s">
        <v>1081</v>
      </c>
      <c r="B270" s="4" t="s">
        <v>1082</v>
      </c>
      <c r="C270" s="4" t="s">
        <v>1082</v>
      </c>
      <c r="D270" s="4" t="s">
        <v>404</v>
      </c>
      <c r="E270" s="4" t="s">
        <v>93</v>
      </c>
      <c r="F270" s="4" t="s">
        <v>597</v>
      </c>
      <c r="G270" s="5" t="s">
        <v>93</v>
      </c>
    </row>
    <row r="271" spans="1:7">
      <c r="A271" s="22" t="s">
        <v>1083</v>
      </c>
      <c r="B271" s="6" t="s">
        <v>1084</v>
      </c>
      <c r="C271" s="6" t="s">
        <v>1084</v>
      </c>
      <c r="D271" s="6" t="s">
        <v>404</v>
      </c>
      <c r="E271" s="6" t="s">
        <v>93</v>
      </c>
      <c r="F271" s="6" t="s">
        <v>597</v>
      </c>
      <c r="G271" s="7" t="s">
        <v>93</v>
      </c>
    </row>
    <row r="272" spans="1:7">
      <c r="A272" s="23" t="s">
        <v>1085</v>
      </c>
      <c r="B272" s="4" t="s">
        <v>1086</v>
      </c>
      <c r="C272" s="4" t="s">
        <v>1086</v>
      </c>
      <c r="D272" s="4" t="s">
        <v>517</v>
      </c>
      <c r="E272" s="4" t="s">
        <v>82</v>
      </c>
      <c r="F272" s="4" t="s">
        <v>517</v>
      </c>
      <c r="G272" s="5" t="s">
        <v>82</v>
      </c>
    </row>
    <row r="273" spans="1:7">
      <c r="A273" s="22" t="s">
        <v>1087</v>
      </c>
      <c r="B273" s="6" t="s">
        <v>1088</v>
      </c>
      <c r="C273" s="6" t="s">
        <v>1088</v>
      </c>
      <c r="D273" s="6" t="s">
        <v>510</v>
      </c>
      <c r="E273" s="6" t="s">
        <v>90</v>
      </c>
      <c r="F273" s="6" t="s">
        <v>517</v>
      </c>
      <c r="G273" s="7" t="s">
        <v>90</v>
      </c>
    </row>
    <row r="274" spans="1:7">
      <c r="A274" s="23" t="s">
        <v>1089</v>
      </c>
      <c r="B274" s="4" t="s">
        <v>1090</v>
      </c>
      <c r="C274" s="4" t="s">
        <v>1090</v>
      </c>
      <c r="D274" s="4" t="s">
        <v>510</v>
      </c>
      <c r="E274" s="4" t="s">
        <v>90</v>
      </c>
      <c r="F274" s="4" t="s">
        <v>517</v>
      </c>
      <c r="G274" s="5" t="s">
        <v>90</v>
      </c>
    </row>
    <row r="275" spans="1:7">
      <c r="A275" s="22" t="s">
        <v>1091</v>
      </c>
      <c r="B275" s="6" t="s">
        <v>1092</v>
      </c>
      <c r="C275" s="6" t="s">
        <v>1092</v>
      </c>
      <c r="D275" s="6" t="s">
        <v>510</v>
      </c>
      <c r="E275" s="6" t="s">
        <v>90</v>
      </c>
      <c r="F275" s="6" t="s">
        <v>517</v>
      </c>
      <c r="G275" s="7" t="s">
        <v>90</v>
      </c>
    </row>
    <row r="276" spans="1:7">
      <c r="A276" s="23" t="s">
        <v>1093</v>
      </c>
      <c r="B276" s="4" t="s">
        <v>1094</v>
      </c>
      <c r="C276" s="4" t="s">
        <v>1094</v>
      </c>
      <c r="D276" s="4" t="s">
        <v>517</v>
      </c>
      <c r="E276" s="4" t="s">
        <v>82</v>
      </c>
      <c r="F276" s="4" t="s">
        <v>517</v>
      </c>
      <c r="G276" s="5" t="s">
        <v>82</v>
      </c>
    </row>
    <row r="277" spans="1:7">
      <c r="A277" s="22" t="s">
        <v>1095</v>
      </c>
      <c r="B277" s="6" t="s">
        <v>1096</v>
      </c>
      <c r="C277" s="6" t="s">
        <v>1096</v>
      </c>
      <c r="D277" s="6" t="s">
        <v>510</v>
      </c>
      <c r="E277" s="6" t="s">
        <v>90</v>
      </c>
      <c r="F277" s="6" t="s">
        <v>517</v>
      </c>
      <c r="G277" s="7" t="s">
        <v>90</v>
      </c>
    </row>
    <row r="278" spans="1:7">
      <c r="A278" s="23" t="s">
        <v>1097</v>
      </c>
      <c r="B278" s="4" t="s">
        <v>1098</v>
      </c>
      <c r="C278" s="4" t="s">
        <v>1098</v>
      </c>
      <c r="D278" s="4" t="s">
        <v>510</v>
      </c>
      <c r="E278" s="4" t="s">
        <v>90</v>
      </c>
      <c r="F278" s="4" t="s">
        <v>517</v>
      </c>
      <c r="G278" s="5" t="s">
        <v>90</v>
      </c>
    </row>
    <row r="279" spans="1:7">
      <c r="A279" s="22" t="s">
        <v>1099</v>
      </c>
      <c r="B279" s="6" t="s">
        <v>1100</v>
      </c>
      <c r="C279" s="6" t="s">
        <v>1100</v>
      </c>
      <c r="D279" s="6" t="s">
        <v>510</v>
      </c>
      <c r="E279" s="6" t="s">
        <v>90</v>
      </c>
      <c r="F279" s="6" t="s">
        <v>517</v>
      </c>
      <c r="G279" s="7" t="s">
        <v>90</v>
      </c>
    </row>
    <row r="280" spans="1:7">
      <c r="A280" s="23" t="s">
        <v>1101</v>
      </c>
      <c r="B280" s="4" t="s">
        <v>1102</v>
      </c>
      <c r="C280" s="4" t="s">
        <v>1102</v>
      </c>
      <c r="D280" s="4" t="s">
        <v>510</v>
      </c>
      <c r="E280" s="4" t="s">
        <v>90</v>
      </c>
      <c r="F280" s="4" t="s">
        <v>517</v>
      </c>
      <c r="G280" s="5" t="s">
        <v>90</v>
      </c>
    </row>
    <row r="281" spans="1:7">
      <c r="A281" s="22" t="s">
        <v>1103</v>
      </c>
      <c r="B281" s="6" t="s">
        <v>344</v>
      </c>
      <c r="C281" s="6" t="s">
        <v>344</v>
      </c>
      <c r="D281" s="6" t="s">
        <v>520</v>
      </c>
      <c r="E281" s="6" t="s">
        <v>115</v>
      </c>
      <c r="F281" s="6" t="s">
        <v>517</v>
      </c>
      <c r="G281" s="7" t="s">
        <v>115</v>
      </c>
    </row>
    <row r="282" spans="1:7">
      <c r="A282" s="23" t="s">
        <v>1104</v>
      </c>
      <c r="B282" s="4" t="s">
        <v>1105</v>
      </c>
      <c r="C282" s="4" t="s">
        <v>1105</v>
      </c>
      <c r="D282" s="4" t="s">
        <v>517</v>
      </c>
      <c r="E282" s="4" t="s">
        <v>82</v>
      </c>
      <c r="F282" s="4" t="s">
        <v>517</v>
      </c>
      <c r="G282" s="5" t="s">
        <v>82</v>
      </c>
    </row>
    <row r="283" spans="1:7">
      <c r="A283" s="22" t="s">
        <v>1106</v>
      </c>
      <c r="B283" s="6" t="s">
        <v>1107</v>
      </c>
      <c r="C283" s="6" t="s">
        <v>1107</v>
      </c>
      <c r="D283" s="6" t="s">
        <v>510</v>
      </c>
      <c r="E283" s="6" t="s">
        <v>90</v>
      </c>
      <c r="F283" s="6" t="s">
        <v>517</v>
      </c>
      <c r="G283" s="7" t="s">
        <v>90</v>
      </c>
    </row>
    <row r="284" spans="1:7">
      <c r="A284" s="23" t="s">
        <v>1108</v>
      </c>
      <c r="B284" s="4" t="s">
        <v>1109</v>
      </c>
      <c r="C284" s="4" t="s">
        <v>1109</v>
      </c>
      <c r="D284" s="4" t="s">
        <v>510</v>
      </c>
      <c r="E284" s="4" t="s">
        <v>90</v>
      </c>
      <c r="F284" s="4" t="s">
        <v>517</v>
      </c>
      <c r="G284" s="5" t="s">
        <v>90</v>
      </c>
    </row>
    <row r="285" spans="1:7">
      <c r="A285" s="22" t="s">
        <v>1110</v>
      </c>
      <c r="B285" s="6" t="s">
        <v>493</v>
      </c>
      <c r="C285" s="6" t="s">
        <v>493</v>
      </c>
      <c r="D285" s="6" t="s">
        <v>406</v>
      </c>
      <c r="E285" s="6" t="s">
        <v>82</v>
      </c>
      <c r="F285" s="6" t="s">
        <v>406</v>
      </c>
      <c r="G285" s="7" t="s">
        <v>82</v>
      </c>
    </row>
    <row r="286" spans="1:7">
      <c r="A286" s="23" t="s">
        <v>1111</v>
      </c>
      <c r="B286" s="4" t="s">
        <v>1112</v>
      </c>
      <c r="C286" s="4" t="s">
        <v>1112</v>
      </c>
      <c r="D286" s="4" t="s">
        <v>406</v>
      </c>
      <c r="E286" s="4" t="s">
        <v>82</v>
      </c>
      <c r="F286" s="4" t="s">
        <v>406</v>
      </c>
      <c r="G286" s="5" t="s">
        <v>82</v>
      </c>
    </row>
    <row r="287" spans="1:7">
      <c r="A287" s="22" t="s">
        <v>1113</v>
      </c>
      <c r="B287" s="6" t="s">
        <v>253</v>
      </c>
      <c r="C287" s="6" t="s">
        <v>253</v>
      </c>
      <c r="D287" s="6" t="s">
        <v>406</v>
      </c>
      <c r="E287" s="6" t="s">
        <v>82</v>
      </c>
      <c r="F287" s="6" t="s">
        <v>406</v>
      </c>
      <c r="G287" s="7" t="s">
        <v>82</v>
      </c>
    </row>
    <row r="288" spans="1:7">
      <c r="A288" s="23" t="s">
        <v>1114</v>
      </c>
      <c r="B288" s="4" t="s">
        <v>1115</v>
      </c>
      <c r="C288" s="4" t="s">
        <v>1115</v>
      </c>
      <c r="D288" s="4" t="s">
        <v>406</v>
      </c>
      <c r="E288" s="4" t="s">
        <v>82</v>
      </c>
      <c r="F288" s="4" t="s">
        <v>406</v>
      </c>
      <c r="G288" s="5" t="s">
        <v>82</v>
      </c>
    </row>
    <row r="289" spans="1:7">
      <c r="A289" s="22" t="s">
        <v>1116</v>
      </c>
      <c r="B289" s="6" t="s">
        <v>1117</v>
      </c>
      <c r="C289" s="6" t="s">
        <v>1117</v>
      </c>
      <c r="D289" s="6" t="s">
        <v>406</v>
      </c>
      <c r="E289" s="6" t="s">
        <v>82</v>
      </c>
      <c r="F289" s="6" t="s">
        <v>406</v>
      </c>
      <c r="G289" s="7" t="s">
        <v>82</v>
      </c>
    </row>
    <row r="290" spans="1:7">
      <c r="A290" s="23" t="s">
        <v>1118</v>
      </c>
      <c r="B290" s="4" t="s">
        <v>1119</v>
      </c>
      <c r="C290" s="4" t="s">
        <v>1119</v>
      </c>
      <c r="D290" s="4" t="s">
        <v>406</v>
      </c>
      <c r="E290" s="4" t="s">
        <v>82</v>
      </c>
      <c r="F290" s="4" t="s">
        <v>406</v>
      </c>
      <c r="G290" s="5" t="s">
        <v>82</v>
      </c>
    </row>
    <row r="291" spans="1:7">
      <c r="A291" s="22" t="s">
        <v>1120</v>
      </c>
      <c r="B291" s="6" t="s">
        <v>1121</v>
      </c>
      <c r="C291" s="6" t="s">
        <v>1121</v>
      </c>
      <c r="D291" s="6" t="s">
        <v>406</v>
      </c>
      <c r="E291" s="6" t="s">
        <v>82</v>
      </c>
      <c r="F291" s="6" t="s">
        <v>406</v>
      </c>
      <c r="G291" s="7" t="s">
        <v>82</v>
      </c>
    </row>
    <row r="292" spans="1:7">
      <c r="A292" s="23" t="s">
        <v>1122</v>
      </c>
      <c r="B292" s="4" t="s">
        <v>1123</v>
      </c>
      <c r="C292" s="4" t="s">
        <v>1123</v>
      </c>
      <c r="D292" s="4" t="s">
        <v>404</v>
      </c>
      <c r="E292" s="4" t="s">
        <v>90</v>
      </c>
      <c r="F292" s="4" t="s">
        <v>515</v>
      </c>
      <c r="G292" s="5" t="s">
        <v>90</v>
      </c>
    </row>
    <row r="293" spans="1:7">
      <c r="A293" s="22" t="s">
        <v>1124</v>
      </c>
      <c r="B293" s="6" t="s">
        <v>1125</v>
      </c>
      <c r="C293" s="6" t="s">
        <v>1125</v>
      </c>
      <c r="D293" s="6" t="s">
        <v>404</v>
      </c>
      <c r="E293" s="6" t="s">
        <v>90</v>
      </c>
      <c r="F293" s="6" t="s">
        <v>515</v>
      </c>
      <c r="G293" s="7" t="s">
        <v>90</v>
      </c>
    </row>
    <row r="294" spans="1:7">
      <c r="A294" s="23" t="s">
        <v>1126</v>
      </c>
      <c r="B294" s="4" t="s">
        <v>197</v>
      </c>
      <c r="C294" s="4" t="s">
        <v>197</v>
      </c>
      <c r="D294" s="4" t="s">
        <v>520</v>
      </c>
      <c r="E294" s="4" t="s">
        <v>93</v>
      </c>
      <c r="F294" s="4" t="s">
        <v>515</v>
      </c>
      <c r="G294" s="5" t="s">
        <v>93</v>
      </c>
    </row>
    <row r="295" spans="1:7">
      <c r="A295" s="22" t="s">
        <v>1127</v>
      </c>
      <c r="B295" s="6" t="s">
        <v>1128</v>
      </c>
      <c r="C295" s="6" t="s">
        <v>1128</v>
      </c>
      <c r="D295" s="6" t="s">
        <v>515</v>
      </c>
      <c r="E295" s="6" t="s">
        <v>82</v>
      </c>
      <c r="F295" s="6" t="s">
        <v>515</v>
      </c>
      <c r="G295" s="7" t="s">
        <v>82</v>
      </c>
    </row>
    <row r="296" spans="1:7">
      <c r="A296" s="23" t="s">
        <v>1129</v>
      </c>
      <c r="B296" s="4" t="s">
        <v>158</v>
      </c>
      <c r="C296" s="4" t="s">
        <v>158</v>
      </c>
      <c r="D296" s="4" t="s">
        <v>515</v>
      </c>
      <c r="E296" s="4" t="s">
        <v>82</v>
      </c>
      <c r="F296" s="4" t="s">
        <v>515</v>
      </c>
      <c r="G296" s="5" t="s">
        <v>82</v>
      </c>
    </row>
    <row r="297" spans="1:7">
      <c r="A297" s="22" t="s">
        <v>1130</v>
      </c>
      <c r="B297" s="6" t="s">
        <v>1131</v>
      </c>
      <c r="C297" s="6" t="s">
        <v>1131</v>
      </c>
      <c r="D297" s="6" t="s">
        <v>520</v>
      </c>
      <c r="E297" s="6" t="s">
        <v>93</v>
      </c>
      <c r="F297" s="6" t="s">
        <v>515</v>
      </c>
      <c r="G297" s="7" t="s">
        <v>93</v>
      </c>
    </row>
    <row r="298" spans="1:7">
      <c r="A298" s="23" t="s">
        <v>1132</v>
      </c>
      <c r="B298" s="4" t="s">
        <v>342</v>
      </c>
      <c r="C298" s="4" t="s">
        <v>342</v>
      </c>
      <c r="D298" s="4" t="s">
        <v>515</v>
      </c>
      <c r="E298" s="4" t="s">
        <v>82</v>
      </c>
      <c r="F298" s="4" t="s">
        <v>515</v>
      </c>
      <c r="G298" s="5" t="s">
        <v>82</v>
      </c>
    </row>
    <row r="299" spans="1:7">
      <c r="A299" s="22" t="s">
        <v>1133</v>
      </c>
      <c r="B299" s="6" t="s">
        <v>1134</v>
      </c>
      <c r="C299" s="6" t="s">
        <v>1134</v>
      </c>
      <c r="D299" s="6" t="s">
        <v>404</v>
      </c>
      <c r="E299" s="6" t="s">
        <v>90</v>
      </c>
      <c r="F299" s="6" t="s">
        <v>515</v>
      </c>
      <c r="G299" s="7" t="s">
        <v>90</v>
      </c>
    </row>
    <row r="300" spans="1:7">
      <c r="A300" s="23" t="s">
        <v>1135</v>
      </c>
      <c r="B300" s="4" t="s">
        <v>1136</v>
      </c>
      <c r="C300" s="4" t="s">
        <v>1136</v>
      </c>
      <c r="D300" s="4" t="s">
        <v>515</v>
      </c>
      <c r="E300" s="4" t="s">
        <v>82</v>
      </c>
      <c r="F300" s="4" t="s">
        <v>515</v>
      </c>
      <c r="G300" s="5" t="s">
        <v>82</v>
      </c>
    </row>
    <row r="301" spans="1:7">
      <c r="A301" s="22" t="s">
        <v>1137</v>
      </c>
      <c r="B301" s="6" t="s">
        <v>1138</v>
      </c>
      <c r="C301" s="6" t="s">
        <v>1138</v>
      </c>
      <c r="D301" s="6" t="s">
        <v>404</v>
      </c>
      <c r="E301" s="6" t="s">
        <v>90</v>
      </c>
      <c r="F301" s="6" t="s">
        <v>515</v>
      </c>
      <c r="G301" s="7" t="s">
        <v>90</v>
      </c>
    </row>
    <row r="302" spans="1:7">
      <c r="A302" s="23" t="s">
        <v>1139</v>
      </c>
      <c r="B302" s="4" t="s">
        <v>1140</v>
      </c>
      <c r="C302" s="4" t="s">
        <v>1140</v>
      </c>
      <c r="D302" s="4" t="s">
        <v>520</v>
      </c>
      <c r="E302" s="4" t="s">
        <v>93</v>
      </c>
      <c r="F302" s="4" t="s">
        <v>515</v>
      </c>
      <c r="G302" s="5" t="s">
        <v>93</v>
      </c>
    </row>
    <row r="303" spans="1:7">
      <c r="A303" s="22" t="s">
        <v>1141</v>
      </c>
      <c r="B303" s="6" t="s">
        <v>1142</v>
      </c>
      <c r="C303" s="6" t="s">
        <v>1142</v>
      </c>
      <c r="D303" s="6" t="s">
        <v>515</v>
      </c>
      <c r="E303" s="6" t="s">
        <v>82</v>
      </c>
      <c r="F303" s="6" t="s">
        <v>515</v>
      </c>
      <c r="G303" s="7" t="s">
        <v>82</v>
      </c>
    </row>
    <row r="304" spans="1:7">
      <c r="A304" s="23" t="s">
        <v>1143</v>
      </c>
      <c r="B304" s="4" t="s">
        <v>1144</v>
      </c>
      <c r="C304" s="4" t="s">
        <v>1144</v>
      </c>
      <c r="D304" s="4" t="s">
        <v>520</v>
      </c>
      <c r="E304" s="4" t="s">
        <v>93</v>
      </c>
      <c r="F304" s="4" t="s">
        <v>515</v>
      </c>
      <c r="G304" s="5" t="s">
        <v>93</v>
      </c>
    </row>
    <row r="305" spans="1:7">
      <c r="A305" s="22" t="s">
        <v>1145</v>
      </c>
      <c r="B305" s="6" t="s">
        <v>1146</v>
      </c>
      <c r="C305" s="6" t="s">
        <v>1146</v>
      </c>
      <c r="D305" s="6" t="s">
        <v>404</v>
      </c>
      <c r="E305" s="6" t="s">
        <v>90</v>
      </c>
      <c r="F305" s="6" t="s">
        <v>515</v>
      </c>
      <c r="G305" s="7" t="s">
        <v>90</v>
      </c>
    </row>
    <row r="306" spans="1:7">
      <c r="A306" s="23" t="s">
        <v>1147</v>
      </c>
      <c r="B306" s="4" t="s">
        <v>1148</v>
      </c>
      <c r="C306" s="4" t="s">
        <v>1148</v>
      </c>
      <c r="D306" s="4" t="s">
        <v>404</v>
      </c>
      <c r="E306" s="4" t="s">
        <v>90</v>
      </c>
      <c r="F306" s="4" t="s">
        <v>515</v>
      </c>
      <c r="G306" s="5" t="s">
        <v>90</v>
      </c>
    </row>
    <row r="307" spans="1:7">
      <c r="A307" s="22" t="s">
        <v>1149</v>
      </c>
      <c r="B307" s="6" t="s">
        <v>1150</v>
      </c>
      <c r="C307" s="6" t="s">
        <v>1150</v>
      </c>
      <c r="D307" s="6" t="s">
        <v>404</v>
      </c>
      <c r="E307" s="6" t="s">
        <v>90</v>
      </c>
      <c r="F307" s="6" t="s">
        <v>515</v>
      </c>
      <c r="G307" s="7" t="s">
        <v>90</v>
      </c>
    </row>
    <row r="308" spans="1:7">
      <c r="A308" s="23" t="s">
        <v>868</v>
      </c>
      <c r="B308" s="4" t="s">
        <v>1151</v>
      </c>
      <c r="C308" s="4" t="s">
        <v>1151</v>
      </c>
      <c r="D308" s="4" t="s">
        <v>404</v>
      </c>
      <c r="E308" s="4" t="s">
        <v>90</v>
      </c>
      <c r="F308" s="4" t="s">
        <v>515</v>
      </c>
      <c r="G308" s="5" t="s">
        <v>90</v>
      </c>
    </row>
    <row r="309" spans="1:7">
      <c r="A309" s="22" t="s">
        <v>1081</v>
      </c>
      <c r="B309" s="6" t="s">
        <v>1152</v>
      </c>
      <c r="C309" s="6" t="s">
        <v>1152</v>
      </c>
      <c r="D309" s="6" t="s">
        <v>404</v>
      </c>
      <c r="E309" s="6" t="s">
        <v>90</v>
      </c>
      <c r="F309" s="6" t="s">
        <v>515</v>
      </c>
      <c r="G309" s="7" t="s">
        <v>90</v>
      </c>
    </row>
    <row r="310" spans="1:7">
      <c r="A310" s="23" t="s">
        <v>1153</v>
      </c>
      <c r="B310" s="4" t="s">
        <v>1154</v>
      </c>
      <c r="C310" s="4" t="s">
        <v>1154</v>
      </c>
      <c r="D310" s="4" t="s">
        <v>404</v>
      </c>
      <c r="E310" s="4" t="s">
        <v>90</v>
      </c>
      <c r="F310" s="4" t="s">
        <v>515</v>
      </c>
      <c r="G310" s="5" t="s">
        <v>90</v>
      </c>
    </row>
    <row r="311" spans="1:7">
      <c r="A311" s="22" t="s">
        <v>1155</v>
      </c>
      <c r="B311" s="6" t="s">
        <v>1156</v>
      </c>
      <c r="C311" s="6" t="s">
        <v>1156</v>
      </c>
      <c r="D311" s="6" t="s">
        <v>520</v>
      </c>
      <c r="E311" s="6" t="s">
        <v>93</v>
      </c>
      <c r="F311" s="6" t="s">
        <v>515</v>
      </c>
      <c r="G311" s="7" t="s">
        <v>93</v>
      </c>
    </row>
    <row r="312" spans="1:7">
      <c r="A312" s="23" t="s">
        <v>1157</v>
      </c>
      <c r="B312" s="4" t="s">
        <v>1158</v>
      </c>
      <c r="C312" s="4" t="s">
        <v>1158</v>
      </c>
      <c r="D312" s="4" t="s">
        <v>515</v>
      </c>
      <c r="E312" s="4" t="s">
        <v>82</v>
      </c>
      <c r="F312" s="4" t="s">
        <v>515</v>
      </c>
      <c r="G312" s="5" t="s">
        <v>82</v>
      </c>
    </row>
    <row r="313" spans="1:7">
      <c r="A313" s="22" t="s">
        <v>1159</v>
      </c>
      <c r="B313" s="6" t="s">
        <v>1160</v>
      </c>
      <c r="C313" s="6" t="s">
        <v>1160</v>
      </c>
      <c r="D313" s="6" t="s">
        <v>404</v>
      </c>
      <c r="E313" s="6" t="s">
        <v>90</v>
      </c>
      <c r="F313" s="6" t="s">
        <v>515</v>
      </c>
      <c r="G313" s="7" t="s">
        <v>90</v>
      </c>
    </row>
    <row r="314" spans="1:7">
      <c r="A314" s="23" t="s">
        <v>1161</v>
      </c>
      <c r="B314" s="4" t="s">
        <v>1162</v>
      </c>
      <c r="C314" s="4" t="s">
        <v>1162</v>
      </c>
      <c r="D314" s="4" t="s">
        <v>520</v>
      </c>
      <c r="E314" s="4" t="s">
        <v>93</v>
      </c>
      <c r="F314" s="4" t="s">
        <v>515</v>
      </c>
      <c r="G314" s="5" t="s">
        <v>93</v>
      </c>
    </row>
    <row r="315" spans="1:7">
      <c r="A315" s="22" t="s">
        <v>1163</v>
      </c>
      <c r="B315" s="6" t="s">
        <v>1164</v>
      </c>
      <c r="C315" s="6" t="s">
        <v>1164</v>
      </c>
      <c r="D315" s="6" t="s">
        <v>591</v>
      </c>
      <c r="E315" s="6" t="s">
        <v>82</v>
      </c>
      <c r="F315" s="6" t="s">
        <v>591</v>
      </c>
      <c r="G315" s="7" t="s">
        <v>82</v>
      </c>
    </row>
    <row r="316" spans="1:7">
      <c r="A316" s="23" t="s">
        <v>1165</v>
      </c>
      <c r="B316" s="4" t="s">
        <v>1166</v>
      </c>
      <c r="C316" s="4" t="s">
        <v>1166</v>
      </c>
      <c r="D316" s="4" t="s">
        <v>591</v>
      </c>
      <c r="E316" s="4" t="s">
        <v>82</v>
      </c>
      <c r="F316" s="4" t="s">
        <v>591</v>
      </c>
      <c r="G316" s="5" t="s">
        <v>82</v>
      </c>
    </row>
    <row r="317" spans="1:7">
      <c r="A317" s="22" t="s">
        <v>1003</v>
      </c>
      <c r="B317" s="6" t="s">
        <v>1167</v>
      </c>
      <c r="C317" s="6" t="s">
        <v>1167</v>
      </c>
      <c r="D317" s="6" t="s">
        <v>591</v>
      </c>
      <c r="E317" s="6" t="s">
        <v>82</v>
      </c>
      <c r="F317" s="6" t="s">
        <v>591</v>
      </c>
      <c r="G317" s="7" t="s">
        <v>82</v>
      </c>
    </row>
    <row r="318" spans="1:7">
      <c r="A318" s="23" t="s">
        <v>1168</v>
      </c>
      <c r="B318" s="4" t="s">
        <v>1169</v>
      </c>
      <c r="C318" s="4" t="s">
        <v>1169</v>
      </c>
      <c r="D318" s="4" t="s">
        <v>591</v>
      </c>
      <c r="E318" s="4" t="s">
        <v>82</v>
      </c>
      <c r="F318" s="4" t="s">
        <v>591</v>
      </c>
      <c r="G318" s="5" t="s">
        <v>82</v>
      </c>
    </row>
    <row r="319" spans="1:7">
      <c r="A319" s="22" t="s">
        <v>1170</v>
      </c>
      <c r="B319" s="6" t="s">
        <v>318</v>
      </c>
      <c r="C319" s="6" t="s">
        <v>318</v>
      </c>
      <c r="D319" s="6" t="s">
        <v>591</v>
      </c>
      <c r="E319" s="6" t="s">
        <v>82</v>
      </c>
      <c r="F319" s="6" t="s">
        <v>591</v>
      </c>
      <c r="G319" s="7" t="s">
        <v>82</v>
      </c>
    </row>
    <row r="320" spans="1:7">
      <c r="A320" s="23" t="s">
        <v>1171</v>
      </c>
      <c r="B320" s="4" t="s">
        <v>1172</v>
      </c>
      <c r="C320" s="4" t="s">
        <v>1172</v>
      </c>
      <c r="D320" s="4" t="s">
        <v>591</v>
      </c>
      <c r="E320" s="4" t="s">
        <v>82</v>
      </c>
      <c r="F320" s="4" t="s">
        <v>591</v>
      </c>
      <c r="G320" s="5" t="s">
        <v>82</v>
      </c>
    </row>
    <row r="321" spans="1:7">
      <c r="A321" s="22" t="s">
        <v>1173</v>
      </c>
      <c r="B321" s="6" t="s">
        <v>281</v>
      </c>
      <c r="C321" s="6" t="s">
        <v>281</v>
      </c>
      <c r="D321" s="6" t="s">
        <v>591</v>
      </c>
      <c r="E321" s="6" t="s">
        <v>82</v>
      </c>
      <c r="F321" s="6" t="s">
        <v>591</v>
      </c>
      <c r="G321" s="7" t="s">
        <v>82</v>
      </c>
    </row>
    <row r="322" spans="1:7">
      <c r="A322" s="23" t="s">
        <v>1174</v>
      </c>
      <c r="B322" s="4" t="s">
        <v>1175</v>
      </c>
      <c r="C322" s="4" t="s">
        <v>1175</v>
      </c>
      <c r="D322" s="4" t="s">
        <v>520</v>
      </c>
      <c r="E322" s="4" t="s">
        <v>90</v>
      </c>
      <c r="F322" s="4" t="s">
        <v>510</v>
      </c>
      <c r="G322" s="5" t="s">
        <v>90</v>
      </c>
    </row>
    <row r="323" spans="1:7">
      <c r="A323" s="22" t="s">
        <v>1176</v>
      </c>
      <c r="B323" s="6" t="s">
        <v>1177</v>
      </c>
      <c r="C323" s="6" t="s">
        <v>1177</v>
      </c>
      <c r="D323" s="6" t="s">
        <v>510</v>
      </c>
      <c r="E323" s="6" t="s">
        <v>82</v>
      </c>
      <c r="F323" s="6" t="s">
        <v>510</v>
      </c>
      <c r="G323" s="7" t="s">
        <v>82</v>
      </c>
    </row>
    <row r="324" spans="1:7">
      <c r="A324" s="23" t="s">
        <v>1178</v>
      </c>
      <c r="B324" s="4" t="s">
        <v>260</v>
      </c>
      <c r="C324" s="4" t="s">
        <v>260</v>
      </c>
      <c r="D324" s="4" t="s">
        <v>510</v>
      </c>
      <c r="E324" s="4" t="s">
        <v>82</v>
      </c>
      <c r="F324" s="4" t="s">
        <v>510</v>
      </c>
      <c r="G324" s="5" t="s">
        <v>82</v>
      </c>
    </row>
    <row r="325" spans="1:7">
      <c r="A325" s="22" t="s">
        <v>1179</v>
      </c>
      <c r="B325" s="6" t="s">
        <v>1180</v>
      </c>
      <c r="C325" s="6" t="s">
        <v>1180</v>
      </c>
      <c r="D325" s="6" t="s">
        <v>510</v>
      </c>
      <c r="E325" s="6" t="s">
        <v>82</v>
      </c>
      <c r="F325" s="6" t="s">
        <v>510</v>
      </c>
      <c r="G325" s="7" t="s">
        <v>82</v>
      </c>
    </row>
    <row r="326" spans="1:7">
      <c r="A326" s="23" t="s">
        <v>1181</v>
      </c>
      <c r="B326" s="4" t="s">
        <v>229</v>
      </c>
      <c r="C326" s="4" t="s">
        <v>229</v>
      </c>
      <c r="D326" s="4" t="s">
        <v>520</v>
      </c>
      <c r="E326" s="4" t="s">
        <v>90</v>
      </c>
      <c r="F326" s="4" t="s">
        <v>510</v>
      </c>
      <c r="G326" s="5" t="s">
        <v>90</v>
      </c>
    </row>
    <row r="327" spans="1:7">
      <c r="A327" s="22" t="s">
        <v>1182</v>
      </c>
      <c r="B327" s="6" t="s">
        <v>1183</v>
      </c>
      <c r="C327" s="6" t="s">
        <v>1183</v>
      </c>
      <c r="D327" s="6" t="s">
        <v>510</v>
      </c>
      <c r="E327" s="6" t="s">
        <v>82</v>
      </c>
      <c r="F327" s="6" t="s">
        <v>510</v>
      </c>
      <c r="G327" s="7" t="s">
        <v>82</v>
      </c>
    </row>
    <row r="328" spans="1:7">
      <c r="A328" s="23" t="s">
        <v>1184</v>
      </c>
      <c r="B328" s="4" t="s">
        <v>1185</v>
      </c>
      <c r="C328" s="4" t="s">
        <v>1185</v>
      </c>
      <c r="D328" s="4" t="s">
        <v>510</v>
      </c>
      <c r="E328" s="4" t="s">
        <v>82</v>
      </c>
      <c r="F328" s="4" t="s">
        <v>510</v>
      </c>
      <c r="G328" s="5" t="s">
        <v>82</v>
      </c>
    </row>
    <row r="329" spans="1:7">
      <c r="A329" s="22" t="s">
        <v>1186</v>
      </c>
      <c r="B329" s="6" t="s">
        <v>160</v>
      </c>
      <c r="C329" s="6" t="s">
        <v>160</v>
      </c>
      <c r="D329" s="6" t="s">
        <v>520</v>
      </c>
      <c r="E329" s="6" t="s">
        <v>90</v>
      </c>
      <c r="F329" s="6" t="s">
        <v>510</v>
      </c>
      <c r="G329" s="7" t="s">
        <v>90</v>
      </c>
    </row>
    <row r="330" spans="1:7">
      <c r="A330" s="23" t="s">
        <v>1187</v>
      </c>
      <c r="B330" s="4" t="s">
        <v>1188</v>
      </c>
      <c r="C330" s="4" t="s">
        <v>1188</v>
      </c>
      <c r="D330" s="4" t="s">
        <v>510</v>
      </c>
      <c r="E330" s="4" t="s">
        <v>82</v>
      </c>
      <c r="F330" s="4" t="s">
        <v>510</v>
      </c>
      <c r="G330" s="5" t="s">
        <v>82</v>
      </c>
    </row>
    <row r="331" spans="1:7">
      <c r="A331" s="22" t="s">
        <v>1189</v>
      </c>
      <c r="B331" s="6" t="s">
        <v>1190</v>
      </c>
      <c r="C331" s="6" t="s">
        <v>1190</v>
      </c>
      <c r="D331" s="6" t="s">
        <v>520</v>
      </c>
      <c r="E331" s="6" t="s">
        <v>90</v>
      </c>
      <c r="F331" s="6" t="s">
        <v>510</v>
      </c>
      <c r="G331" s="7" t="s">
        <v>90</v>
      </c>
    </row>
    <row r="332" spans="1:7">
      <c r="A332" s="23" t="s">
        <v>1191</v>
      </c>
      <c r="B332" s="4" t="s">
        <v>1192</v>
      </c>
      <c r="C332" s="4" t="s">
        <v>1192</v>
      </c>
      <c r="D332" s="4" t="s">
        <v>510</v>
      </c>
      <c r="E332" s="4" t="s">
        <v>82</v>
      </c>
      <c r="F332" s="4" t="s">
        <v>510</v>
      </c>
      <c r="G332" s="5" t="s">
        <v>82</v>
      </c>
    </row>
    <row r="333" spans="1:7">
      <c r="A333" s="22" t="s">
        <v>1193</v>
      </c>
      <c r="B333" s="6" t="s">
        <v>1194</v>
      </c>
      <c r="C333" s="6" t="s">
        <v>1194</v>
      </c>
      <c r="D333" s="6" t="s">
        <v>510</v>
      </c>
      <c r="E333" s="6" t="s">
        <v>82</v>
      </c>
      <c r="F333" s="6" t="s">
        <v>510</v>
      </c>
      <c r="G333" s="7" t="s">
        <v>82</v>
      </c>
    </row>
    <row r="334" spans="1:7">
      <c r="A334" s="23" t="s">
        <v>1195</v>
      </c>
      <c r="B334" s="4" t="s">
        <v>56</v>
      </c>
      <c r="C334" s="4" t="s">
        <v>56</v>
      </c>
      <c r="D334" s="4" t="s">
        <v>510</v>
      </c>
      <c r="E334" s="4" t="s">
        <v>82</v>
      </c>
      <c r="F334" s="4" t="s">
        <v>510</v>
      </c>
      <c r="G334" s="5" t="s">
        <v>82</v>
      </c>
    </row>
    <row r="335" spans="1:7">
      <c r="A335" s="22" t="s">
        <v>1196</v>
      </c>
      <c r="B335" s="6" t="s">
        <v>488</v>
      </c>
      <c r="C335" s="6" t="s">
        <v>488</v>
      </c>
      <c r="D335" s="6" t="s">
        <v>520</v>
      </c>
      <c r="E335" s="6" t="s">
        <v>90</v>
      </c>
      <c r="F335" s="6" t="s">
        <v>510</v>
      </c>
      <c r="G335" s="7" t="s">
        <v>90</v>
      </c>
    </row>
    <row r="336" spans="1:7">
      <c r="A336" s="23" t="s">
        <v>1197</v>
      </c>
      <c r="B336" s="4" t="s">
        <v>1198</v>
      </c>
      <c r="C336" s="4" t="s">
        <v>1198</v>
      </c>
      <c r="D336" s="4" t="s">
        <v>520</v>
      </c>
      <c r="E336" s="4" t="s">
        <v>90</v>
      </c>
      <c r="F336" s="4" t="s">
        <v>510</v>
      </c>
      <c r="G336" s="5" t="s">
        <v>90</v>
      </c>
    </row>
    <row r="337" spans="1:7">
      <c r="A337" s="22" t="s">
        <v>1199</v>
      </c>
      <c r="B337" s="6" t="s">
        <v>1200</v>
      </c>
      <c r="C337" s="6" t="s">
        <v>1200</v>
      </c>
      <c r="D337" s="6" t="s">
        <v>520</v>
      </c>
      <c r="E337" s="6" t="s">
        <v>90</v>
      </c>
      <c r="F337" s="6" t="s">
        <v>510</v>
      </c>
      <c r="G337" s="7" t="s">
        <v>90</v>
      </c>
    </row>
    <row r="338" spans="1:7">
      <c r="A338" s="23" t="s">
        <v>1201</v>
      </c>
      <c r="B338" s="4" t="s">
        <v>1202</v>
      </c>
      <c r="C338" s="4" t="s">
        <v>1202</v>
      </c>
      <c r="D338" s="4" t="s">
        <v>520</v>
      </c>
      <c r="E338" s="4" t="s">
        <v>90</v>
      </c>
      <c r="F338" s="4" t="s">
        <v>510</v>
      </c>
      <c r="G338" s="5" t="s">
        <v>90</v>
      </c>
    </row>
    <row r="339" spans="1:7">
      <c r="A339" s="22" t="s">
        <v>1187</v>
      </c>
      <c r="B339" s="6" t="s">
        <v>1203</v>
      </c>
      <c r="C339" s="6" t="s">
        <v>1203</v>
      </c>
      <c r="D339" s="6" t="s">
        <v>510</v>
      </c>
      <c r="E339" s="6" t="s">
        <v>82</v>
      </c>
      <c r="F339" s="6" t="s">
        <v>510</v>
      </c>
      <c r="G339" s="7" t="s">
        <v>82</v>
      </c>
    </row>
    <row r="340" spans="1:7">
      <c r="A340" s="23" t="s">
        <v>1204</v>
      </c>
      <c r="B340" s="4" t="s">
        <v>1205</v>
      </c>
      <c r="C340" s="4" t="s">
        <v>1205</v>
      </c>
      <c r="D340" s="4" t="s">
        <v>510</v>
      </c>
      <c r="E340" s="4" t="s">
        <v>82</v>
      </c>
      <c r="F340" s="4" t="s">
        <v>510</v>
      </c>
      <c r="G340" s="5" t="s">
        <v>82</v>
      </c>
    </row>
    <row r="341" spans="1:7">
      <c r="A341" s="22" t="s">
        <v>1206</v>
      </c>
      <c r="B341" s="6" t="s">
        <v>401</v>
      </c>
      <c r="C341" s="6" t="s">
        <v>401</v>
      </c>
      <c r="D341" s="6" t="s">
        <v>510</v>
      </c>
      <c r="E341" s="6" t="s">
        <v>82</v>
      </c>
      <c r="F341" s="6" t="s">
        <v>510</v>
      </c>
      <c r="G341" s="7" t="s">
        <v>82</v>
      </c>
    </row>
    <row r="342" spans="1:7">
      <c r="A342" s="23" t="s">
        <v>1207</v>
      </c>
      <c r="B342" s="4" t="s">
        <v>1208</v>
      </c>
      <c r="C342" s="4" t="s">
        <v>1208</v>
      </c>
      <c r="D342" s="4" t="s">
        <v>520</v>
      </c>
      <c r="E342" s="4" t="s">
        <v>90</v>
      </c>
      <c r="F342" s="4" t="s">
        <v>510</v>
      </c>
      <c r="G342" s="5" t="s">
        <v>90</v>
      </c>
    </row>
    <row r="343" spans="1:7">
      <c r="A343" s="22" t="s">
        <v>1209</v>
      </c>
      <c r="B343" s="6" t="s">
        <v>1210</v>
      </c>
      <c r="C343" s="6" t="s">
        <v>1210</v>
      </c>
      <c r="D343" s="6" t="s">
        <v>510</v>
      </c>
      <c r="E343" s="6" t="s">
        <v>82</v>
      </c>
      <c r="F343" s="6" t="s">
        <v>510</v>
      </c>
      <c r="G343" s="7" t="s">
        <v>82</v>
      </c>
    </row>
    <row r="344" spans="1:7">
      <c r="A344" s="23" t="s">
        <v>1211</v>
      </c>
      <c r="B344" s="4" t="s">
        <v>412</v>
      </c>
      <c r="C344" s="4" t="s">
        <v>412</v>
      </c>
      <c r="D344" s="4" t="s">
        <v>404</v>
      </c>
      <c r="E344" s="4" t="s">
        <v>82</v>
      </c>
      <c r="F344" s="4" t="s">
        <v>404</v>
      </c>
      <c r="G344" s="5" t="s">
        <v>82</v>
      </c>
    </row>
    <row r="345" spans="1:7">
      <c r="A345" s="22" t="s">
        <v>1212</v>
      </c>
      <c r="B345" s="6" t="s">
        <v>1213</v>
      </c>
      <c r="C345" s="6" t="s">
        <v>1213</v>
      </c>
      <c r="D345" s="6" t="s">
        <v>404</v>
      </c>
      <c r="E345" s="6" t="s">
        <v>82</v>
      </c>
      <c r="F345" s="6" t="s">
        <v>404</v>
      </c>
      <c r="G345" s="7" t="s">
        <v>82</v>
      </c>
    </row>
    <row r="346" spans="1:7">
      <c r="A346" s="23" t="s">
        <v>1214</v>
      </c>
      <c r="B346" s="4" t="s">
        <v>1215</v>
      </c>
      <c r="C346" s="4" t="s">
        <v>1215</v>
      </c>
      <c r="D346" s="4" t="s">
        <v>404</v>
      </c>
      <c r="E346" s="4" t="s">
        <v>82</v>
      </c>
      <c r="F346" s="4" t="s">
        <v>404</v>
      </c>
      <c r="G346" s="5" t="s">
        <v>82</v>
      </c>
    </row>
    <row r="347" spans="1:7">
      <c r="A347" s="22" t="s">
        <v>1216</v>
      </c>
      <c r="B347" s="6" t="s">
        <v>323</v>
      </c>
      <c r="C347" s="6" t="s">
        <v>323</v>
      </c>
      <c r="D347" s="6" t="s">
        <v>404</v>
      </c>
      <c r="E347" s="6" t="s">
        <v>82</v>
      </c>
      <c r="F347" s="6" t="s">
        <v>404</v>
      </c>
      <c r="G347" s="7" t="s">
        <v>82</v>
      </c>
    </row>
    <row r="348" spans="1:7">
      <c r="A348" s="23" t="s">
        <v>1217</v>
      </c>
      <c r="B348" s="4" t="s">
        <v>1218</v>
      </c>
      <c r="C348" s="4" t="s">
        <v>1218</v>
      </c>
      <c r="D348" s="4" t="s">
        <v>404</v>
      </c>
      <c r="E348" s="4" t="s">
        <v>82</v>
      </c>
      <c r="F348" s="4" t="s">
        <v>404</v>
      </c>
      <c r="G348" s="5" t="s">
        <v>82</v>
      </c>
    </row>
    <row r="349" spans="1:7">
      <c r="A349" s="22" t="s">
        <v>1219</v>
      </c>
      <c r="B349" s="6" t="s">
        <v>1220</v>
      </c>
      <c r="C349" s="6" t="s">
        <v>1220</v>
      </c>
      <c r="D349" s="6" t="s">
        <v>404</v>
      </c>
      <c r="E349" s="6" t="s">
        <v>82</v>
      </c>
      <c r="F349" s="6" t="s">
        <v>404</v>
      </c>
      <c r="G349" s="7" t="s">
        <v>82</v>
      </c>
    </row>
    <row r="350" spans="1:7">
      <c r="A350" s="23" t="s">
        <v>1221</v>
      </c>
      <c r="B350" s="4" t="s">
        <v>1222</v>
      </c>
      <c r="C350" s="4" t="s">
        <v>1222</v>
      </c>
      <c r="D350" s="4" t="s">
        <v>404</v>
      </c>
      <c r="E350" s="4" t="s">
        <v>82</v>
      </c>
      <c r="F350" s="4" t="s">
        <v>404</v>
      </c>
      <c r="G350" s="5" t="s">
        <v>82</v>
      </c>
    </row>
    <row r="351" spans="1:7">
      <c r="A351" s="22" t="s">
        <v>1223</v>
      </c>
      <c r="B351" s="6" t="s">
        <v>1224</v>
      </c>
      <c r="C351" s="6" t="s">
        <v>1224</v>
      </c>
      <c r="D351" s="6" t="s">
        <v>404</v>
      </c>
      <c r="E351" s="6" t="s">
        <v>82</v>
      </c>
      <c r="F351" s="6" t="s">
        <v>404</v>
      </c>
      <c r="G351" s="7" t="s">
        <v>82</v>
      </c>
    </row>
    <row r="352" spans="1:7">
      <c r="A352" s="23" t="s">
        <v>1225</v>
      </c>
      <c r="B352" s="4" t="s">
        <v>1226</v>
      </c>
      <c r="C352" s="4" t="s">
        <v>1226</v>
      </c>
      <c r="D352" s="4" t="s">
        <v>404</v>
      </c>
      <c r="E352" s="4" t="s">
        <v>82</v>
      </c>
      <c r="F352" s="4" t="s">
        <v>404</v>
      </c>
      <c r="G352" s="5" t="s">
        <v>82</v>
      </c>
    </row>
    <row r="353" spans="1:7">
      <c r="A353" s="22" t="s">
        <v>1227</v>
      </c>
      <c r="B353" s="6" t="s">
        <v>1228</v>
      </c>
      <c r="C353" s="6" t="s">
        <v>1228</v>
      </c>
      <c r="D353" s="6" t="s">
        <v>404</v>
      </c>
      <c r="E353" s="6" t="s">
        <v>82</v>
      </c>
      <c r="F353" s="6" t="s">
        <v>404</v>
      </c>
      <c r="G353" s="7" t="s">
        <v>82</v>
      </c>
    </row>
    <row r="354" spans="1:7">
      <c r="A354" s="23" t="s">
        <v>1229</v>
      </c>
      <c r="B354" s="4" t="s">
        <v>1230</v>
      </c>
      <c r="C354" s="4" t="s">
        <v>1230</v>
      </c>
      <c r="D354" s="4" t="s">
        <v>404</v>
      </c>
      <c r="E354" s="4" t="s">
        <v>82</v>
      </c>
      <c r="F354" s="4" t="s">
        <v>404</v>
      </c>
      <c r="G354" s="5" t="s">
        <v>82</v>
      </c>
    </row>
    <row r="355" spans="1:7">
      <c r="A355" s="22" t="s">
        <v>1122</v>
      </c>
      <c r="B355" s="6" t="s">
        <v>1231</v>
      </c>
      <c r="C355" s="6" t="s">
        <v>1231</v>
      </c>
      <c r="D355" s="6" t="s">
        <v>404</v>
      </c>
      <c r="E355" s="6" t="s">
        <v>82</v>
      </c>
      <c r="F355" s="6" t="s">
        <v>404</v>
      </c>
      <c r="G355" s="7" t="s">
        <v>82</v>
      </c>
    </row>
    <row r="356" spans="1:7">
      <c r="A356" s="23" t="s">
        <v>1232</v>
      </c>
      <c r="B356" s="4" t="s">
        <v>1233</v>
      </c>
      <c r="C356" s="4" t="s">
        <v>1233</v>
      </c>
      <c r="D356" s="4" t="s">
        <v>404</v>
      </c>
      <c r="E356" s="4" t="s">
        <v>82</v>
      </c>
      <c r="F356" s="4" t="s">
        <v>404</v>
      </c>
      <c r="G356" s="5" t="s">
        <v>82</v>
      </c>
    </row>
    <row r="357" spans="1:7">
      <c r="A357" s="22" t="s">
        <v>1234</v>
      </c>
      <c r="B357" s="6" t="s">
        <v>1235</v>
      </c>
      <c r="C357" s="6" t="s">
        <v>1235</v>
      </c>
      <c r="D357" s="6" t="s">
        <v>404</v>
      </c>
      <c r="E357" s="6" t="s">
        <v>82</v>
      </c>
      <c r="F357" s="6" t="s">
        <v>404</v>
      </c>
      <c r="G357" s="7" t="s">
        <v>82</v>
      </c>
    </row>
    <row r="358" spans="1:7">
      <c r="A358" s="23" t="s">
        <v>1236</v>
      </c>
      <c r="B358" s="4" t="s">
        <v>1237</v>
      </c>
      <c r="C358" s="4" t="s">
        <v>1237</v>
      </c>
      <c r="D358" s="4" t="s">
        <v>404</v>
      </c>
      <c r="E358" s="4" t="s">
        <v>82</v>
      </c>
      <c r="F358" s="4" t="s">
        <v>404</v>
      </c>
      <c r="G358" s="5" t="s">
        <v>82</v>
      </c>
    </row>
    <row r="359" spans="1:7">
      <c r="A359" s="22" t="s">
        <v>1238</v>
      </c>
      <c r="B359" s="6" t="s">
        <v>289</v>
      </c>
      <c r="C359" s="6" t="s">
        <v>289</v>
      </c>
      <c r="D359" s="6" t="s">
        <v>520</v>
      </c>
      <c r="E359" s="6" t="s">
        <v>82</v>
      </c>
      <c r="F359" s="6" t="s">
        <v>520</v>
      </c>
      <c r="G359" s="7" t="s">
        <v>82</v>
      </c>
    </row>
    <row r="360" spans="1:7">
      <c r="A360" s="23" t="s">
        <v>1239</v>
      </c>
      <c r="B360" s="4" t="s">
        <v>333</v>
      </c>
      <c r="C360" s="4" t="s">
        <v>333</v>
      </c>
      <c r="D360" s="4" t="s">
        <v>520</v>
      </c>
      <c r="E360" s="4" t="s">
        <v>82</v>
      </c>
      <c r="F360" s="4" t="s">
        <v>520</v>
      </c>
      <c r="G360" s="5" t="s">
        <v>82</v>
      </c>
    </row>
    <row r="361" spans="1:7">
      <c r="A361" s="22" t="s">
        <v>1240</v>
      </c>
      <c r="B361" s="6" t="s">
        <v>1241</v>
      </c>
      <c r="C361" s="6" t="s">
        <v>1241</v>
      </c>
      <c r="D361" s="6" t="s">
        <v>520</v>
      </c>
      <c r="E361" s="6" t="s">
        <v>82</v>
      </c>
      <c r="F361" s="6" t="s">
        <v>520</v>
      </c>
      <c r="G361" s="7" t="s">
        <v>82</v>
      </c>
    </row>
    <row r="362" spans="1:7">
      <c r="A362" s="23" t="s">
        <v>1242</v>
      </c>
      <c r="B362" s="4" t="s">
        <v>1243</v>
      </c>
      <c r="C362" s="4" t="s">
        <v>1243</v>
      </c>
      <c r="D362" s="4" t="s">
        <v>520</v>
      </c>
      <c r="E362" s="4" t="s">
        <v>82</v>
      </c>
      <c r="F362" s="4" t="s">
        <v>520</v>
      </c>
      <c r="G362" s="5" t="s">
        <v>82</v>
      </c>
    </row>
    <row r="363" spans="1:7">
      <c r="A363" s="22" t="s">
        <v>1244</v>
      </c>
      <c r="B363" s="6" t="s">
        <v>1245</v>
      </c>
      <c r="C363" s="6" t="s">
        <v>1245</v>
      </c>
      <c r="D363" s="6" t="s">
        <v>520</v>
      </c>
      <c r="E363" s="6" t="s">
        <v>82</v>
      </c>
      <c r="F363" s="6" t="s">
        <v>520</v>
      </c>
      <c r="G363" s="7" t="s">
        <v>82</v>
      </c>
    </row>
    <row r="364" spans="1:7">
      <c r="A364" s="23" t="s">
        <v>1246</v>
      </c>
      <c r="B364" s="4" t="s">
        <v>52</v>
      </c>
      <c r="C364" s="4" t="s">
        <v>52</v>
      </c>
      <c r="D364" s="4" t="s">
        <v>520</v>
      </c>
      <c r="E364" s="4" t="s">
        <v>82</v>
      </c>
      <c r="F364" s="4" t="s">
        <v>520</v>
      </c>
      <c r="G364" s="5" t="s">
        <v>82</v>
      </c>
    </row>
  </sheetData>
  <phoneticPr fontId="4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6331-A602-4D9E-9950-B1A39B034E89}">
  <dimension ref="A1:D101"/>
  <sheetViews>
    <sheetView topLeftCell="A89" workbookViewId="0">
      <selection activeCell="H99" sqref="H99"/>
    </sheetView>
  </sheetViews>
  <sheetFormatPr defaultRowHeight="14.5"/>
  <cols>
    <col min="1" max="1" width="3.81640625" bestFit="1" customWidth="1"/>
    <col min="2" max="2" width="21.08984375" customWidth="1"/>
    <col min="3" max="3" width="9.26953125" bestFit="1" customWidth="1"/>
    <col min="4" max="4" width="5.453125" bestFit="1" customWidth="1"/>
  </cols>
  <sheetData>
    <row r="1" spans="1:4" ht="15" thickBot="1">
      <c r="A1" s="24" t="s">
        <v>1247</v>
      </c>
      <c r="B1" s="24" t="s">
        <v>1248</v>
      </c>
      <c r="C1" s="24" t="s">
        <v>542</v>
      </c>
      <c r="D1" s="24" t="s">
        <v>1249</v>
      </c>
    </row>
    <row r="2" spans="1:4" ht="15" thickBot="1">
      <c r="A2" s="25">
        <v>1</v>
      </c>
      <c r="B2" s="26" t="s">
        <v>1250</v>
      </c>
      <c r="C2" s="27">
        <v>8541</v>
      </c>
      <c r="D2" s="28">
        <v>0.20300000000000001</v>
      </c>
    </row>
    <row r="3" spans="1:4" ht="15" thickBot="1">
      <c r="A3" s="25">
        <v>2</v>
      </c>
      <c r="B3" s="26" t="s">
        <v>1251</v>
      </c>
      <c r="C3" s="27">
        <v>2589</v>
      </c>
      <c r="D3" s="28">
        <v>6.0999999999999999E-2</v>
      </c>
    </row>
    <row r="4" spans="1:4" ht="15" thickBot="1">
      <c r="A4" s="25">
        <v>3</v>
      </c>
      <c r="B4" s="26" t="s">
        <v>1252</v>
      </c>
      <c r="C4" s="27">
        <v>1868</v>
      </c>
      <c r="D4" s="28">
        <v>4.3999999999999997E-2</v>
      </c>
    </row>
    <row r="5" spans="1:4" ht="15" thickBot="1">
      <c r="A5" s="25">
        <v>4</v>
      </c>
      <c r="B5" s="26" t="s">
        <v>1253</v>
      </c>
      <c r="C5" s="27">
        <v>1764</v>
      </c>
      <c r="D5" s="28">
        <v>4.2000000000000003E-2</v>
      </c>
    </row>
    <row r="6" spans="1:4" ht="15" thickBot="1">
      <c r="A6" s="25">
        <v>5</v>
      </c>
      <c r="B6" s="26" t="s">
        <v>1254</v>
      </c>
      <c r="C6" s="27">
        <v>1377</v>
      </c>
      <c r="D6" s="28">
        <v>3.3000000000000002E-2</v>
      </c>
    </row>
    <row r="7" spans="1:4" ht="15" thickBot="1">
      <c r="A7" s="25">
        <v>6</v>
      </c>
      <c r="B7" s="26" t="s">
        <v>1255</v>
      </c>
      <c r="C7" s="27">
        <v>1139</v>
      </c>
      <c r="D7" s="28">
        <v>2.7E-2</v>
      </c>
    </row>
    <row r="8" spans="1:4" ht="15" thickBot="1">
      <c r="A8" s="25">
        <v>7</v>
      </c>
      <c r="B8" s="26" t="s">
        <v>1256</v>
      </c>
      <c r="C8" s="27">
        <v>1032</v>
      </c>
      <c r="D8" s="28">
        <v>2.5000000000000001E-2</v>
      </c>
    </row>
    <row r="9" spans="1:4" ht="15" thickBot="1">
      <c r="A9" s="25">
        <v>8</v>
      </c>
      <c r="B9" s="26" t="s">
        <v>1257</v>
      </c>
      <c r="C9" s="29">
        <v>710</v>
      </c>
      <c r="D9" s="28">
        <v>1.7000000000000001E-2</v>
      </c>
    </row>
    <row r="10" spans="1:4" ht="15" thickBot="1">
      <c r="A10" s="25">
        <v>9</v>
      </c>
      <c r="B10" s="26" t="s">
        <v>1258</v>
      </c>
      <c r="C10" s="29">
        <v>597</v>
      </c>
      <c r="D10" s="28">
        <v>1.4E-2</v>
      </c>
    </row>
    <row r="11" spans="1:4" ht="15" thickBot="1">
      <c r="A11" s="25">
        <v>10</v>
      </c>
      <c r="B11" s="26" t="s">
        <v>1259</v>
      </c>
      <c r="C11" s="29">
        <v>475</v>
      </c>
      <c r="D11" s="28">
        <v>1.0999999999999999E-2</v>
      </c>
    </row>
    <row r="12" spans="1:4" ht="15" thickBot="1">
      <c r="A12" s="25">
        <v>11</v>
      </c>
      <c r="B12" s="26" t="s">
        <v>1260</v>
      </c>
      <c r="C12" s="29">
        <v>302</v>
      </c>
      <c r="D12" s="28">
        <v>7.0000000000000001E-3</v>
      </c>
    </row>
    <row r="13" spans="1:4" ht="15" thickBot="1">
      <c r="A13" s="25">
        <v>12</v>
      </c>
      <c r="B13" s="26" t="s">
        <v>1261</v>
      </c>
      <c r="C13" s="29">
        <v>278</v>
      </c>
      <c r="D13" s="28">
        <v>7.0000000000000001E-3</v>
      </c>
    </row>
    <row r="14" spans="1:4" ht="15" thickBot="1">
      <c r="A14" s="25">
        <v>13</v>
      </c>
      <c r="B14" s="26" t="s">
        <v>1262</v>
      </c>
      <c r="C14" s="29">
        <v>275</v>
      </c>
      <c r="D14" s="28">
        <v>7.0000000000000001E-3</v>
      </c>
    </row>
    <row r="15" spans="1:4" ht="15" thickBot="1">
      <c r="A15" s="25">
        <v>14</v>
      </c>
      <c r="B15" s="26" t="s">
        <v>1263</v>
      </c>
      <c r="C15" s="29">
        <v>271</v>
      </c>
      <c r="D15" s="28">
        <v>6.0000000000000001E-3</v>
      </c>
    </row>
    <row r="16" spans="1:4" ht="15" thickBot="1">
      <c r="A16" s="25">
        <v>15</v>
      </c>
      <c r="B16" s="26" t="s">
        <v>1264</v>
      </c>
      <c r="C16" s="29">
        <v>258</v>
      </c>
      <c r="D16" s="28">
        <v>6.0000000000000001E-3</v>
      </c>
    </row>
    <row r="17" spans="1:4" ht="15" thickBot="1">
      <c r="A17" s="25">
        <v>16</v>
      </c>
      <c r="B17" s="26" t="s">
        <v>1265</v>
      </c>
      <c r="C17" s="29">
        <v>257</v>
      </c>
      <c r="D17" s="28">
        <v>6.0000000000000001E-3</v>
      </c>
    </row>
    <row r="18" spans="1:4" ht="15" thickBot="1">
      <c r="A18" s="25">
        <v>17</v>
      </c>
      <c r="B18" s="26" t="s">
        <v>1266</v>
      </c>
      <c r="C18" s="29">
        <v>251</v>
      </c>
      <c r="D18" s="28">
        <v>6.0000000000000001E-3</v>
      </c>
    </row>
    <row r="19" spans="1:4" ht="15" thickBot="1">
      <c r="A19" s="25">
        <v>18</v>
      </c>
      <c r="B19" s="26" t="s">
        <v>1267</v>
      </c>
      <c r="C19" s="29">
        <v>249</v>
      </c>
      <c r="D19" s="28">
        <v>6.0000000000000001E-3</v>
      </c>
    </row>
    <row r="20" spans="1:4" ht="15" thickBot="1">
      <c r="A20" s="25">
        <v>19</v>
      </c>
      <c r="B20" s="26" t="s">
        <v>1268</v>
      </c>
      <c r="C20" s="29">
        <v>245</v>
      </c>
      <c r="D20" s="28">
        <v>6.0000000000000001E-3</v>
      </c>
    </row>
    <row r="21" spans="1:4" ht="15" thickBot="1">
      <c r="A21" s="25">
        <v>20</v>
      </c>
      <c r="B21" s="26" t="s">
        <v>1269</v>
      </c>
      <c r="C21" s="29">
        <v>230</v>
      </c>
      <c r="D21" s="28">
        <v>5.0000000000000001E-3</v>
      </c>
    </row>
    <row r="22" spans="1:4" ht="15" thickBot="1">
      <c r="A22" s="25">
        <v>21</v>
      </c>
      <c r="B22" s="26" t="s">
        <v>1270</v>
      </c>
      <c r="C22" s="29">
        <v>209</v>
      </c>
      <c r="D22" s="28">
        <v>5.0000000000000001E-3</v>
      </c>
    </row>
    <row r="23" spans="1:4" ht="15" thickBot="1">
      <c r="A23" s="25">
        <v>22</v>
      </c>
      <c r="B23" s="26" t="s">
        <v>1271</v>
      </c>
      <c r="C23" s="29">
        <v>205</v>
      </c>
      <c r="D23" s="28">
        <v>5.0000000000000001E-3</v>
      </c>
    </row>
    <row r="24" spans="1:4" ht="15" thickBot="1">
      <c r="A24" s="25">
        <v>23</v>
      </c>
      <c r="B24" s="26" t="s">
        <v>1272</v>
      </c>
      <c r="C24" s="29">
        <v>202</v>
      </c>
      <c r="D24" s="28">
        <v>5.0000000000000001E-3</v>
      </c>
    </row>
    <row r="25" spans="1:4" ht="15" thickBot="1">
      <c r="A25" s="25">
        <v>24</v>
      </c>
      <c r="B25" s="26" t="s">
        <v>1273</v>
      </c>
      <c r="C25" s="29">
        <v>189</v>
      </c>
      <c r="D25" s="28">
        <v>4.0000000000000001E-3</v>
      </c>
    </row>
    <row r="26" spans="1:4" ht="15" thickBot="1">
      <c r="A26" s="25">
        <v>25</v>
      </c>
      <c r="B26" s="26" t="s">
        <v>1274</v>
      </c>
      <c r="C26" s="29">
        <v>169</v>
      </c>
      <c r="D26" s="28">
        <v>4.0000000000000001E-3</v>
      </c>
    </row>
    <row r="27" spans="1:4" ht="15" thickBot="1">
      <c r="A27" s="25">
        <v>26</v>
      </c>
      <c r="B27" s="26" t="s">
        <v>1275</v>
      </c>
      <c r="C27" s="29">
        <v>168</v>
      </c>
      <c r="D27" s="28">
        <v>4.0000000000000001E-3</v>
      </c>
    </row>
    <row r="28" spans="1:4" ht="15" thickBot="1">
      <c r="A28" s="25">
        <v>27</v>
      </c>
      <c r="B28" s="26" t="s">
        <v>1276</v>
      </c>
      <c r="C28" s="29">
        <v>164</v>
      </c>
      <c r="D28" s="28">
        <v>4.0000000000000001E-3</v>
      </c>
    </row>
    <row r="29" spans="1:4" ht="15" thickBot="1">
      <c r="A29" s="25">
        <v>28</v>
      </c>
      <c r="B29" s="26" t="s">
        <v>1277</v>
      </c>
      <c r="C29" s="29">
        <v>159</v>
      </c>
      <c r="D29" s="28">
        <v>4.0000000000000001E-3</v>
      </c>
    </row>
    <row r="30" spans="1:4" ht="15" thickBot="1">
      <c r="A30" s="25">
        <v>29</v>
      </c>
      <c r="B30" s="26" t="s">
        <v>1278</v>
      </c>
      <c r="C30" s="29">
        <v>151</v>
      </c>
      <c r="D30" s="28">
        <v>4.0000000000000001E-3</v>
      </c>
    </row>
    <row r="31" spans="1:4" ht="15" thickBot="1">
      <c r="A31" s="25">
        <v>30</v>
      </c>
      <c r="B31" s="26" t="s">
        <v>1279</v>
      </c>
      <c r="C31" s="29">
        <v>142</v>
      </c>
      <c r="D31" s="28">
        <v>3.0000000000000001E-3</v>
      </c>
    </row>
    <row r="32" spans="1:4" ht="15" thickBot="1">
      <c r="A32" s="25">
        <v>31</v>
      </c>
      <c r="B32" s="26" t="s">
        <v>1280</v>
      </c>
      <c r="C32" s="29">
        <v>142</v>
      </c>
      <c r="D32" s="28">
        <v>3.0000000000000001E-3</v>
      </c>
    </row>
    <row r="33" spans="1:4" ht="15" thickBot="1">
      <c r="A33" s="25">
        <v>32</v>
      </c>
      <c r="B33" s="26" t="s">
        <v>1281</v>
      </c>
      <c r="C33" s="29">
        <v>132</v>
      </c>
      <c r="D33" s="28">
        <v>3.0000000000000001E-3</v>
      </c>
    </row>
    <row r="34" spans="1:4" ht="15" thickBot="1">
      <c r="A34" s="25">
        <v>33</v>
      </c>
      <c r="B34" s="26" t="s">
        <v>1282</v>
      </c>
      <c r="C34" s="29">
        <v>132</v>
      </c>
      <c r="D34" s="28">
        <v>3.0000000000000001E-3</v>
      </c>
    </row>
    <row r="35" spans="1:4" ht="15" thickBot="1">
      <c r="A35" s="25">
        <v>34</v>
      </c>
      <c r="B35" s="26" t="s">
        <v>1283</v>
      </c>
      <c r="C35" s="29">
        <v>131</v>
      </c>
      <c r="D35" s="28">
        <v>3.0000000000000001E-3</v>
      </c>
    </row>
    <row r="36" spans="1:4" ht="15" thickBot="1">
      <c r="A36" s="25">
        <v>35</v>
      </c>
      <c r="B36" s="26" t="s">
        <v>1284</v>
      </c>
      <c r="C36" s="29">
        <v>129</v>
      </c>
      <c r="D36" s="28">
        <v>3.0000000000000001E-3</v>
      </c>
    </row>
    <row r="37" spans="1:4" ht="15" thickBot="1">
      <c r="A37" s="25">
        <v>36</v>
      </c>
      <c r="B37" s="26" t="s">
        <v>1285</v>
      </c>
      <c r="C37" s="29">
        <v>117</v>
      </c>
      <c r="D37" s="28">
        <v>3.0000000000000001E-3</v>
      </c>
    </row>
    <row r="38" spans="1:4" ht="15" thickBot="1">
      <c r="A38" s="25">
        <v>37</v>
      </c>
      <c r="B38" s="26" t="s">
        <v>1286</v>
      </c>
      <c r="C38" s="29">
        <v>114</v>
      </c>
      <c r="D38" s="28">
        <v>3.0000000000000001E-3</v>
      </c>
    </row>
    <row r="39" spans="1:4" ht="15" thickBot="1">
      <c r="A39" s="25">
        <v>38</v>
      </c>
      <c r="B39" s="26" t="s">
        <v>1287</v>
      </c>
      <c r="C39" s="29">
        <v>112</v>
      </c>
      <c r="D39" s="28">
        <v>3.0000000000000001E-3</v>
      </c>
    </row>
    <row r="40" spans="1:4" ht="15" thickBot="1">
      <c r="A40" s="25">
        <v>39</v>
      </c>
      <c r="B40" s="26" t="s">
        <v>1288</v>
      </c>
      <c r="C40" s="29">
        <v>110</v>
      </c>
      <c r="D40" s="28">
        <v>3.0000000000000001E-3</v>
      </c>
    </row>
    <row r="41" spans="1:4" ht="15" thickBot="1">
      <c r="A41" s="25">
        <v>40</v>
      </c>
      <c r="B41" s="26" t="s">
        <v>45</v>
      </c>
      <c r="C41" s="29">
        <v>107</v>
      </c>
      <c r="D41" s="28">
        <v>3.0000000000000001E-3</v>
      </c>
    </row>
    <row r="42" spans="1:4" ht="15" thickBot="1">
      <c r="A42" s="25">
        <v>41</v>
      </c>
      <c r="B42" s="26" t="s">
        <v>1289</v>
      </c>
      <c r="C42" s="29">
        <v>105</v>
      </c>
      <c r="D42" s="28">
        <v>2E-3</v>
      </c>
    </row>
    <row r="43" spans="1:4" ht="15" thickBot="1">
      <c r="A43" s="25">
        <v>42</v>
      </c>
      <c r="B43" s="26" t="s">
        <v>1290</v>
      </c>
      <c r="C43" s="29">
        <v>103</v>
      </c>
      <c r="D43" s="28">
        <v>2E-3</v>
      </c>
    </row>
    <row r="44" spans="1:4" ht="15" thickBot="1">
      <c r="A44" s="25">
        <v>43</v>
      </c>
      <c r="B44" s="26" t="s">
        <v>1291</v>
      </c>
      <c r="C44" s="29">
        <v>95</v>
      </c>
      <c r="D44" s="28">
        <v>2E-3</v>
      </c>
    </row>
    <row r="45" spans="1:4" ht="15" thickBot="1">
      <c r="A45" s="25">
        <v>44</v>
      </c>
      <c r="B45" s="26" t="s">
        <v>1292</v>
      </c>
      <c r="C45" s="29">
        <v>93</v>
      </c>
      <c r="D45" s="28">
        <v>2E-3</v>
      </c>
    </row>
    <row r="46" spans="1:4" ht="15" thickBot="1">
      <c r="A46" s="25">
        <v>45</v>
      </c>
      <c r="B46" s="26" t="s">
        <v>1293</v>
      </c>
      <c r="C46" s="29">
        <v>91</v>
      </c>
      <c r="D46" s="28">
        <v>2E-3</v>
      </c>
    </row>
    <row r="47" spans="1:4" ht="15" thickBot="1">
      <c r="A47" s="25">
        <v>46</v>
      </c>
      <c r="B47" s="26" t="s">
        <v>1294</v>
      </c>
      <c r="C47" s="29">
        <v>90</v>
      </c>
      <c r="D47" s="28">
        <v>2E-3</v>
      </c>
    </row>
    <row r="48" spans="1:4" ht="15" thickBot="1">
      <c r="A48" s="25">
        <v>47</v>
      </c>
      <c r="B48" s="26" t="s">
        <v>1295</v>
      </c>
      <c r="C48" s="29">
        <v>89</v>
      </c>
      <c r="D48" s="28">
        <v>2E-3</v>
      </c>
    </row>
    <row r="49" spans="1:4" ht="15" thickBot="1">
      <c r="A49" s="25">
        <v>48</v>
      </c>
      <c r="B49" s="26" t="s">
        <v>1296</v>
      </c>
      <c r="C49" s="29">
        <v>89</v>
      </c>
      <c r="D49" s="28">
        <v>2E-3</v>
      </c>
    </row>
    <row r="50" spans="1:4" ht="15" thickBot="1">
      <c r="A50" s="25">
        <v>49</v>
      </c>
      <c r="B50" s="26" t="s">
        <v>1297</v>
      </c>
      <c r="C50" s="29">
        <v>85</v>
      </c>
      <c r="D50" s="28">
        <v>2E-3</v>
      </c>
    </row>
    <row r="51" spans="1:4" ht="15" thickBot="1">
      <c r="A51" s="25">
        <v>50</v>
      </c>
      <c r="B51" s="26" t="s">
        <v>1298</v>
      </c>
      <c r="C51" s="29">
        <v>84</v>
      </c>
      <c r="D51" s="28">
        <v>2E-3</v>
      </c>
    </row>
    <row r="52" spans="1:4" ht="18.5" thickBot="1">
      <c r="A52" s="25">
        <v>51</v>
      </c>
      <c r="B52" s="26" t="s">
        <v>1299</v>
      </c>
      <c r="C52" s="29">
        <v>82</v>
      </c>
      <c r="D52" s="28">
        <v>2E-3</v>
      </c>
    </row>
    <row r="53" spans="1:4" ht="15" thickBot="1">
      <c r="A53" s="25">
        <v>52</v>
      </c>
      <c r="B53" s="26" t="s">
        <v>1300</v>
      </c>
      <c r="C53" s="29">
        <v>82</v>
      </c>
      <c r="D53" s="28">
        <v>2E-3</v>
      </c>
    </row>
    <row r="54" spans="1:4" ht="15" thickBot="1">
      <c r="A54" s="25">
        <v>53</v>
      </c>
      <c r="B54" s="26" t="s">
        <v>1301</v>
      </c>
      <c r="C54" s="29">
        <v>81</v>
      </c>
      <c r="D54" s="28">
        <v>2E-3</v>
      </c>
    </row>
    <row r="55" spans="1:4" ht="15" thickBot="1">
      <c r="A55" s="25">
        <v>54</v>
      </c>
      <c r="B55" s="26" t="s">
        <v>1302</v>
      </c>
      <c r="C55" s="29">
        <v>79</v>
      </c>
      <c r="D55" s="28">
        <v>2E-3</v>
      </c>
    </row>
    <row r="56" spans="1:4" ht="15" thickBot="1">
      <c r="A56" s="25">
        <v>55</v>
      </c>
      <c r="B56" s="26" t="s">
        <v>1303</v>
      </c>
      <c r="C56" s="29">
        <v>77</v>
      </c>
      <c r="D56" s="28">
        <v>2E-3</v>
      </c>
    </row>
    <row r="57" spans="1:4" ht="15" thickBot="1">
      <c r="A57" s="25">
        <v>56</v>
      </c>
      <c r="B57" s="26" t="s">
        <v>1304</v>
      </c>
      <c r="C57" s="29">
        <v>74</v>
      </c>
      <c r="D57" s="28">
        <v>2E-3</v>
      </c>
    </row>
    <row r="58" spans="1:4" ht="15" thickBot="1">
      <c r="A58" s="25">
        <v>57</v>
      </c>
      <c r="B58" s="26" t="s">
        <v>1305</v>
      </c>
      <c r="C58" s="29">
        <v>71</v>
      </c>
      <c r="D58" s="28">
        <v>2E-3</v>
      </c>
    </row>
    <row r="59" spans="1:4" ht="15" thickBot="1">
      <c r="A59" s="25">
        <v>58</v>
      </c>
      <c r="B59" s="26" t="s">
        <v>1306</v>
      </c>
      <c r="C59" s="29">
        <v>70</v>
      </c>
      <c r="D59" s="28">
        <v>2E-3</v>
      </c>
    </row>
    <row r="60" spans="1:4" ht="15" thickBot="1">
      <c r="A60" s="25">
        <v>59</v>
      </c>
      <c r="B60" s="26" t="s">
        <v>0</v>
      </c>
      <c r="C60" s="29">
        <v>68</v>
      </c>
      <c r="D60" s="28">
        <v>2E-3</v>
      </c>
    </row>
    <row r="61" spans="1:4" ht="15" thickBot="1">
      <c r="A61" s="25">
        <v>60</v>
      </c>
      <c r="B61" s="26" t="s">
        <v>1307</v>
      </c>
      <c r="C61" s="29">
        <v>67</v>
      </c>
      <c r="D61" s="28">
        <v>2E-3</v>
      </c>
    </row>
    <row r="62" spans="1:4" ht="15" thickBot="1">
      <c r="A62" s="25">
        <v>61</v>
      </c>
      <c r="B62" s="26" t="s">
        <v>1308</v>
      </c>
      <c r="C62" s="29">
        <v>65</v>
      </c>
      <c r="D62" s="28">
        <v>2E-3</v>
      </c>
    </row>
    <row r="63" spans="1:4" ht="15" thickBot="1">
      <c r="A63" s="25">
        <v>62</v>
      </c>
      <c r="B63" s="26" t="s">
        <v>1309</v>
      </c>
      <c r="C63" s="29">
        <v>65</v>
      </c>
      <c r="D63" s="28">
        <v>2E-3</v>
      </c>
    </row>
    <row r="64" spans="1:4" ht="15" thickBot="1">
      <c r="A64" s="25">
        <v>63</v>
      </c>
      <c r="B64" s="26" t="s">
        <v>1310</v>
      </c>
      <c r="C64" s="29">
        <v>63</v>
      </c>
      <c r="D64" s="28">
        <v>1E-3</v>
      </c>
    </row>
    <row r="65" spans="1:4" ht="15" thickBot="1">
      <c r="A65" s="25">
        <v>64</v>
      </c>
      <c r="B65" s="26" t="s">
        <v>1311</v>
      </c>
      <c r="C65" s="29">
        <v>61</v>
      </c>
      <c r="D65" s="28">
        <v>1E-3</v>
      </c>
    </row>
    <row r="66" spans="1:4" ht="15" thickBot="1">
      <c r="A66" s="25">
        <v>65</v>
      </c>
      <c r="B66" s="26" t="s">
        <v>1312</v>
      </c>
      <c r="C66" s="29">
        <v>61</v>
      </c>
      <c r="D66" s="28">
        <v>1E-3</v>
      </c>
    </row>
    <row r="67" spans="1:4" ht="15" thickBot="1">
      <c r="A67" s="25">
        <v>66</v>
      </c>
      <c r="B67" s="26" t="s">
        <v>1313</v>
      </c>
      <c r="C67" s="29">
        <v>60</v>
      </c>
      <c r="D67" s="28">
        <v>1E-3</v>
      </c>
    </row>
    <row r="68" spans="1:4" ht="15" thickBot="1">
      <c r="A68" s="25">
        <v>67</v>
      </c>
      <c r="B68" s="26" t="s">
        <v>1314</v>
      </c>
      <c r="C68" s="29">
        <v>57</v>
      </c>
      <c r="D68" s="28">
        <v>1E-3</v>
      </c>
    </row>
    <row r="69" spans="1:4" ht="15" thickBot="1">
      <c r="A69" s="25">
        <v>68</v>
      </c>
      <c r="B69" s="26" t="s">
        <v>1315</v>
      </c>
      <c r="C69" s="29">
        <v>57</v>
      </c>
      <c r="D69" s="28">
        <v>1E-3</v>
      </c>
    </row>
    <row r="70" spans="1:4" ht="15" thickBot="1">
      <c r="A70" s="25">
        <v>69</v>
      </c>
      <c r="B70" s="26" t="s">
        <v>1316</v>
      </c>
      <c r="C70" s="29">
        <v>56</v>
      </c>
      <c r="D70" s="28">
        <v>1E-3</v>
      </c>
    </row>
    <row r="71" spans="1:4" ht="15" thickBot="1">
      <c r="A71" s="25">
        <v>70</v>
      </c>
      <c r="B71" s="26" t="s">
        <v>1317</v>
      </c>
      <c r="C71" s="29">
        <v>55</v>
      </c>
      <c r="D71" s="28">
        <v>1E-3</v>
      </c>
    </row>
    <row r="72" spans="1:4" ht="15" thickBot="1">
      <c r="A72" s="25">
        <v>71</v>
      </c>
      <c r="B72" s="26" t="s">
        <v>1318</v>
      </c>
      <c r="C72" s="29">
        <v>55</v>
      </c>
      <c r="D72" s="28">
        <v>1E-3</v>
      </c>
    </row>
    <row r="73" spans="1:4" ht="18.5" thickBot="1">
      <c r="A73" s="25">
        <v>72</v>
      </c>
      <c r="B73" s="26" t="s">
        <v>1319</v>
      </c>
      <c r="C73" s="29">
        <v>54</v>
      </c>
      <c r="D73" s="28">
        <v>1E-3</v>
      </c>
    </row>
    <row r="74" spans="1:4" ht="15" thickBot="1">
      <c r="A74" s="25">
        <v>73</v>
      </c>
      <c r="B74" s="26" t="s">
        <v>1320</v>
      </c>
      <c r="C74" s="29">
        <v>54</v>
      </c>
      <c r="D74" s="28">
        <v>1E-3</v>
      </c>
    </row>
    <row r="75" spans="1:4" ht="15" thickBot="1">
      <c r="A75" s="25">
        <v>74</v>
      </c>
      <c r="B75" s="26" t="s">
        <v>1321</v>
      </c>
      <c r="C75" s="29">
        <v>53</v>
      </c>
      <c r="D75" s="28">
        <v>1E-3</v>
      </c>
    </row>
    <row r="76" spans="1:4" ht="15" thickBot="1">
      <c r="A76" s="25">
        <v>75</v>
      </c>
      <c r="B76" s="26" t="s">
        <v>1322</v>
      </c>
      <c r="C76" s="29">
        <v>51</v>
      </c>
      <c r="D76" s="28">
        <v>1E-3</v>
      </c>
    </row>
    <row r="77" spans="1:4" ht="15" thickBot="1">
      <c r="A77" s="25">
        <v>76</v>
      </c>
      <c r="B77" s="26" t="s">
        <v>1323</v>
      </c>
      <c r="C77" s="29">
        <v>50</v>
      </c>
      <c r="D77" s="28">
        <v>1E-3</v>
      </c>
    </row>
    <row r="78" spans="1:4" ht="15" thickBot="1">
      <c r="A78" s="25">
        <v>77</v>
      </c>
      <c r="B78" s="26" t="s">
        <v>1324</v>
      </c>
      <c r="C78" s="29">
        <v>50</v>
      </c>
      <c r="D78" s="28">
        <v>1E-3</v>
      </c>
    </row>
    <row r="79" spans="1:4" ht="15" thickBot="1">
      <c r="A79" s="25">
        <v>78</v>
      </c>
      <c r="B79" s="26" t="s">
        <v>1325</v>
      </c>
      <c r="C79" s="29">
        <v>49</v>
      </c>
      <c r="D79" s="28">
        <v>1E-3</v>
      </c>
    </row>
    <row r="80" spans="1:4" ht="15" thickBot="1">
      <c r="A80" s="25">
        <v>79</v>
      </c>
      <c r="B80" s="26" t="s">
        <v>1326</v>
      </c>
      <c r="C80" s="29">
        <v>48</v>
      </c>
      <c r="D80" s="28">
        <v>1E-3</v>
      </c>
    </row>
    <row r="81" spans="1:4" ht="15" thickBot="1">
      <c r="A81" s="25">
        <v>80</v>
      </c>
      <c r="B81" s="26" t="s">
        <v>1327</v>
      </c>
      <c r="C81" s="29">
        <v>46</v>
      </c>
      <c r="D81" s="28">
        <v>1E-3</v>
      </c>
    </row>
    <row r="82" spans="1:4" ht="15" thickBot="1">
      <c r="A82" s="25">
        <v>81</v>
      </c>
      <c r="B82" s="26" t="s">
        <v>1328</v>
      </c>
      <c r="C82" s="29">
        <v>46</v>
      </c>
      <c r="D82" s="28">
        <v>1E-3</v>
      </c>
    </row>
    <row r="83" spans="1:4" ht="15" thickBot="1">
      <c r="A83" s="25">
        <v>82</v>
      </c>
      <c r="B83" s="26" t="s">
        <v>1329</v>
      </c>
      <c r="C83" s="29">
        <v>45</v>
      </c>
      <c r="D83" s="28">
        <v>1E-3</v>
      </c>
    </row>
    <row r="84" spans="1:4" ht="15" thickBot="1">
      <c r="A84" s="25">
        <v>83</v>
      </c>
      <c r="B84" s="26" t="s">
        <v>1330</v>
      </c>
      <c r="C84" s="29">
        <v>43</v>
      </c>
      <c r="D84" s="28">
        <v>1E-3</v>
      </c>
    </row>
    <row r="85" spans="1:4" ht="15" thickBot="1">
      <c r="A85" s="25">
        <v>84</v>
      </c>
      <c r="B85" s="26" t="s">
        <v>1331</v>
      </c>
      <c r="C85" s="29">
        <v>42</v>
      </c>
      <c r="D85" s="28">
        <v>1E-3</v>
      </c>
    </row>
    <row r="86" spans="1:4" ht="15" thickBot="1">
      <c r="A86" s="25">
        <v>85</v>
      </c>
      <c r="B86" s="26" t="s">
        <v>1332</v>
      </c>
      <c r="C86" s="29">
        <v>42</v>
      </c>
      <c r="D86" s="28">
        <v>1E-3</v>
      </c>
    </row>
    <row r="87" spans="1:4" ht="15" thickBot="1">
      <c r="A87" s="25">
        <v>86</v>
      </c>
      <c r="B87" s="26" t="s">
        <v>1333</v>
      </c>
      <c r="C87" s="29">
        <v>40</v>
      </c>
      <c r="D87" s="28">
        <v>1E-3</v>
      </c>
    </row>
    <row r="88" spans="1:4" ht="15" thickBot="1">
      <c r="A88" s="25">
        <v>87</v>
      </c>
      <c r="B88" s="26" t="s">
        <v>1334</v>
      </c>
      <c r="C88" s="29">
        <v>40</v>
      </c>
      <c r="D88" s="28">
        <v>1E-3</v>
      </c>
    </row>
    <row r="89" spans="1:4" ht="15" thickBot="1">
      <c r="A89" s="25">
        <v>88</v>
      </c>
      <c r="B89" s="26" t="s">
        <v>1335</v>
      </c>
      <c r="C89" s="29">
        <v>40</v>
      </c>
      <c r="D89" s="28">
        <v>1E-3</v>
      </c>
    </row>
    <row r="90" spans="1:4" ht="15" thickBot="1">
      <c r="A90" s="25">
        <v>89</v>
      </c>
      <c r="B90" s="26" t="s">
        <v>1336</v>
      </c>
      <c r="C90" s="29">
        <v>40</v>
      </c>
      <c r="D90" s="28">
        <v>1E-3</v>
      </c>
    </row>
    <row r="91" spans="1:4" ht="15" thickBot="1">
      <c r="A91" s="25">
        <v>90</v>
      </c>
      <c r="B91" s="26" t="s">
        <v>1337</v>
      </c>
      <c r="C91" s="29">
        <v>38</v>
      </c>
      <c r="D91" s="28">
        <v>1E-3</v>
      </c>
    </row>
    <row r="92" spans="1:4" ht="15" thickBot="1">
      <c r="A92" s="25">
        <v>91</v>
      </c>
      <c r="B92" s="26" t="s">
        <v>1338</v>
      </c>
      <c r="C92" s="29">
        <v>37</v>
      </c>
      <c r="D92" s="28">
        <v>1E-3</v>
      </c>
    </row>
    <row r="93" spans="1:4" ht="15" thickBot="1">
      <c r="A93" s="25">
        <v>92</v>
      </c>
      <c r="B93" s="26" t="s">
        <v>1339</v>
      </c>
      <c r="C93" s="29">
        <v>34</v>
      </c>
      <c r="D93" s="28">
        <v>1E-3</v>
      </c>
    </row>
    <row r="94" spans="1:4" ht="15" thickBot="1">
      <c r="A94" s="25">
        <v>93</v>
      </c>
      <c r="B94" s="26" t="s">
        <v>1340</v>
      </c>
      <c r="C94" s="29">
        <v>33</v>
      </c>
      <c r="D94" s="28">
        <v>1E-3</v>
      </c>
    </row>
    <row r="95" spans="1:4" ht="15" thickBot="1">
      <c r="A95" s="25">
        <v>94</v>
      </c>
      <c r="B95" s="26" t="s">
        <v>1341</v>
      </c>
      <c r="C95" s="29">
        <v>32</v>
      </c>
      <c r="D95" s="28">
        <v>1E-3</v>
      </c>
    </row>
    <row r="96" spans="1:4" ht="15" thickBot="1">
      <c r="A96" s="25">
        <v>95</v>
      </c>
      <c r="B96" s="26" t="s">
        <v>1342</v>
      </c>
      <c r="C96" s="29">
        <v>31</v>
      </c>
      <c r="D96" s="28">
        <v>1E-3</v>
      </c>
    </row>
    <row r="97" spans="1:4" ht="15" thickBot="1">
      <c r="A97" s="25">
        <v>96</v>
      </c>
      <c r="B97" s="26" t="s">
        <v>1343</v>
      </c>
      <c r="C97" s="29">
        <v>30</v>
      </c>
      <c r="D97" s="28">
        <v>1E-3</v>
      </c>
    </row>
    <row r="98" spans="1:4" ht="15" thickBot="1">
      <c r="A98" s="25">
        <v>97</v>
      </c>
      <c r="B98" s="26" t="s">
        <v>1344</v>
      </c>
      <c r="C98" s="29">
        <v>30</v>
      </c>
      <c r="D98" s="28">
        <v>1E-3</v>
      </c>
    </row>
    <row r="99" spans="1:4" ht="15" thickBot="1">
      <c r="A99" s="25">
        <v>98</v>
      </c>
      <c r="B99" s="26" t="s">
        <v>1345</v>
      </c>
      <c r="C99" s="29">
        <v>30</v>
      </c>
      <c r="D99" s="28">
        <v>1E-3</v>
      </c>
    </row>
    <row r="100" spans="1:4" ht="15" thickBot="1">
      <c r="A100" s="25">
        <v>99</v>
      </c>
      <c r="B100" s="26" t="s">
        <v>1346</v>
      </c>
      <c r="C100" s="29">
        <v>29</v>
      </c>
      <c r="D100" s="28">
        <v>1E-3</v>
      </c>
    </row>
    <row r="101" spans="1:4" ht="15" thickBot="1">
      <c r="A101" s="30">
        <v>100</v>
      </c>
      <c r="B101" s="31" t="s">
        <v>1347</v>
      </c>
      <c r="C101" s="32">
        <v>28</v>
      </c>
      <c r="D101" s="33">
        <v>1E-3</v>
      </c>
    </row>
  </sheetData>
  <phoneticPr fontId="4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zoomScaleNormal="100" workbookViewId="0">
      <selection activeCell="J12" sqref="J12"/>
    </sheetView>
  </sheetViews>
  <sheetFormatPr defaultColWidth="8.6328125" defaultRowHeight="14.5"/>
  <cols>
    <col min="1" max="1" width="12" customWidth="1"/>
    <col min="2" max="2" width="8" customWidth="1"/>
    <col min="3" max="3" width="10" customWidth="1"/>
    <col min="4" max="4" width="18.08984375" bestFit="1" customWidth="1"/>
    <col min="5" max="5" width="15" customWidth="1"/>
    <col min="6" max="6" width="20" customWidth="1"/>
    <col min="7" max="7" width="40" customWidth="1"/>
    <col min="8" max="8" width="30" customWidth="1"/>
  </cols>
  <sheetData>
    <row r="1" spans="1:8">
      <c r="A1" s="11" t="s">
        <v>16</v>
      </c>
      <c r="B1" s="11" t="s">
        <v>67</v>
      </c>
      <c r="C1" s="11" t="s">
        <v>1</v>
      </c>
      <c r="D1" s="11" t="s">
        <v>68</v>
      </c>
      <c r="E1" s="11" t="s">
        <v>69</v>
      </c>
      <c r="F1" s="11" t="s">
        <v>70</v>
      </c>
      <c r="G1" s="11" t="s">
        <v>71</v>
      </c>
      <c r="H1" s="11" t="s">
        <v>5</v>
      </c>
    </row>
    <row r="2" spans="1:8">
      <c r="A2" s="12">
        <v>45987</v>
      </c>
      <c r="B2" s="13">
        <v>0.66666666666666663</v>
      </c>
      <c r="C2" s="14" t="s">
        <v>498</v>
      </c>
      <c r="D2" s="15" t="s">
        <v>524</v>
      </c>
      <c r="E2" s="15"/>
      <c r="F2" s="15" t="s">
        <v>72</v>
      </c>
      <c r="G2" s="16" t="s">
        <v>499</v>
      </c>
      <c r="H2" s="14"/>
    </row>
    <row r="3" spans="1:8" ht="16.5">
      <c r="A3" s="12">
        <v>45987</v>
      </c>
      <c r="B3" s="13">
        <v>0.66666666666666663</v>
      </c>
      <c r="C3" s="14" t="s">
        <v>498</v>
      </c>
      <c r="D3" s="14" t="s">
        <v>73</v>
      </c>
      <c r="E3" s="15" t="s">
        <v>22</v>
      </c>
      <c r="F3" s="15" t="s">
        <v>72</v>
      </c>
      <c r="G3" s="17" t="s">
        <v>523</v>
      </c>
      <c r="H3" s="15" t="s">
        <v>525</v>
      </c>
    </row>
    <row r="4" spans="1:8" ht="16.5">
      <c r="A4" s="12">
        <v>45987</v>
      </c>
      <c r="B4" s="13">
        <v>0.66666666666666663</v>
      </c>
      <c r="C4" s="14" t="s">
        <v>498</v>
      </c>
      <c r="D4" s="14" t="s">
        <v>73</v>
      </c>
      <c r="E4" s="15" t="s">
        <v>25</v>
      </c>
      <c r="F4" s="15" t="s">
        <v>72</v>
      </c>
      <c r="G4" s="17" t="s">
        <v>523</v>
      </c>
      <c r="H4" s="15" t="s">
        <v>525</v>
      </c>
    </row>
    <row r="5" spans="1:8" ht="16.5">
      <c r="A5" s="12">
        <v>45987</v>
      </c>
      <c r="B5" s="13">
        <v>0.66666666666666663</v>
      </c>
      <c r="C5" s="14" t="s">
        <v>498</v>
      </c>
      <c r="D5" s="14" t="s">
        <v>73</v>
      </c>
      <c r="E5" s="15" t="s">
        <v>27</v>
      </c>
      <c r="F5" s="15" t="s">
        <v>72</v>
      </c>
      <c r="G5" s="17" t="s">
        <v>523</v>
      </c>
      <c r="H5" s="15" t="s">
        <v>525</v>
      </c>
    </row>
    <row r="6" spans="1:8" ht="16.5">
      <c r="A6" s="12">
        <v>45987</v>
      </c>
      <c r="B6" s="13">
        <v>0.66666666666666663</v>
      </c>
      <c r="C6" s="14" t="s">
        <v>498</v>
      </c>
      <c r="D6" s="14" t="s">
        <v>73</v>
      </c>
      <c r="E6" s="15" t="s">
        <v>29</v>
      </c>
      <c r="F6" s="15" t="s">
        <v>72</v>
      </c>
      <c r="G6" s="17" t="s">
        <v>523</v>
      </c>
      <c r="H6" s="15" t="s">
        <v>525</v>
      </c>
    </row>
    <row r="7" spans="1:8" ht="16.5">
      <c r="A7" s="12">
        <v>45987</v>
      </c>
      <c r="B7" s="13">
        <v>0.66666666666666663</v>
      </c>
      <c r="C7" s="14" t="s">
        <v>498</v>
      </c>
      <c r="D7" s="14" t="s">
        <v>73</v>
      </c>
      <c r="E7" s="15" t="s">
        <v>31</v>
      </c>
      <c r="F7" s="15" t="s">
        <v>72</v>
      </c>
      <c r="G7" s="17" t="s">
        <v>523</v>
      </c>
      <c r="H7" s="15" t="s">
        <v>525</v>
      </c>
    </row>
    <row r="8" spans="1:8" ht="16.5">
      <c r="A8" s="12">
        <v>45987</v>
      </c>
      <c r="B8" s="13">
        <v>0.66666666666666663</v>
      </c>
      <c r="C8" s="14" t="s">
        <v>498</v>
      </c>
      <c r="D8" s="14" t="s">
        <v>73</v>
      </c>
      <c r="E8" s="15" t="s">
        <v>33</v>
      </c>
      <c r="F8" s="15" t="s">
        <v>72</v>
      </c>
      <c r="G8" s="17" t="s">
        <v>523</v>
      </c>
      <c r="H8" s="15" t="s">
        <v>525</v>
      </c>
    </row>
    <row r="9" spans="1:8" ht="16.5">
      <c r="A9" s="12">
        <v>45987</v>
      </c>
      <c r="B9" s="13">
        <v>0.66666666666666663</v>
      </c>
      <c r="C9" s="14" t="s">
        <v>498</v>
      </c>
      <c r="D9" s="14" t="s">
        <v>73</v>
      </c>
      <c r="E9" s="15" t="s">
        <v>35</v>
      </c>
      <c r="F9" s="15" t="s">
        <v>72</v>
      </c>
      <c r="G9" s="17" t="s">
        <v>523</v>
      </c>
      <c r="H9" s="15" t="s">
        <v>525</v>
      </c>
    </row>
    <row r="10" spans="1:8" ht="16.5">
      <c r="A10" s="12">
        <v>45987</v>
      </c>
      <c r="B10" s="13">
        <v>0.66666666666666663</v>
      </c>
      <c r="C10" s="14" t="s">
        <v>498</v>
      </c>
      <c r="D10" s="14" t="s">
        <v>73</v>
      </c>
      <c r="E10" s="15" t="s">
        <v>37</v>
      </c>
      <c r="F10" s="15" t="s">
        <v>72</v>
      </c>
      <c r="G10" s="17" t="s">
        <v>523</v>
      </c>
      <c r="H10" s="15" t="s">
        <v>525</v>
      </c>
    </row>
    <row r="11" spans="1:8" ht="16.5">
      <c r="A11" s="12">
        <v>45987</v>
      </c>
      <c r="B11" s="13">
        <v>0.66666666666666663</v>
      </c>
      <c r="C11" s="14" t="s">
        <v>498</v>
      </c>
      <c r="D11" s="14" t="s">
        <v>73</v>
      </c>
      <c r="E11" s="15" t="s">
        <v>39</v>
      </c>
      <c r="F11" s="15" t="s">
        <v>72</v>
      </c>
      <c r="G11" s="17" t="s">
        <v>523</v>
      </c>
      <c r="H11" s="15" t="s">
        <v>525</v>
      </c>
    </row>
    <row r="12" spans="1:8" ht="16.5">
      <c r="A12" s="12">
        <v>45987</v>
      </c>
      <c r="B12" s="13">
        <v>0.66666666666666663</v>
      </c>
      <c r="C12" s="14" t="s">
        <v>498</v>
      </c>
      <c r="D12" s="14" t="s">
        <v>73</v>
      </c>
      <c r="E12" s="15" t="s">
        <v>41</v>
      </c>
      <c r="F12" s="15" t="s">
        <v>72</v>
      </c>
      <c r="G12" s="17" t="s">
        <v>523</v>
      </c>
      <c r="H12" s="15" t="s">
        <v>525</v>
      </c>
    </row>
    <row r="13" spans="1:8">
      <c r="A13" s="12">
        <v>45989</v>
      </c>
      <c r="B13" s="13">
        <v>0.45833333333333331</v>
      </c>
      <c r="C13" s="14" t="s">
        <v>498</v>
      </c>
      <c r="D13" s="17" t="s">
        <v>500</v>
      </c>
      <c r="E13" s="15" t="s">
        <v>33</v>
      </c>
      <c r="F13" s="15" t="s">
        <v>72</v>
      </c>
      <c r="G13" s="14" t="s">
        <v>44</v>
      </c>
      <c r="H13" s="15" t="s">
        <v>526</v>
      </c>
    </row>
    <row r="14" spans="1:8">
      <c r="A14" s="12">
        <v>45989</v>
      </c>
      <c r="B14" s="13">
        <v>0.45833333333333331</v>
      </c>
      <c r="C14" s="14" t="s">
        <v>498</v>
      </c>
      <c r="D14" s="17" t="s">
        <v>500</v>
      </c>
      <c r="E14" s="15" t="s">
        <v>39</v>
      </c>
      <c r="F14" s="15" t="s">
        <v>72</v>
      </c>
      <c r="G14" s="14" t="s">
        <v>44</v>
      </c>
      <c r="H14" s="15" t="s">
        <v>526</v>
      </c>
    </row>
    <row r="15" spans="1:8">
      <c r="A15" s="12">
        <v>45989</v>
      </c>
      <c r="B15" s="13">
        <v>0.45833333333333331</v>
      </c>
      <c r="C15" s="14" t="s">
        <v>498</v>
      </c>
      <c r="D15" s="17" t="s">
        <v>500</v>
      </c>
      <c r="E15" s="15" t="s">
        <v>35</v>
      </c>
      <c r="F15" s="15" t="s">
        <v>72</v>
      </c>
      <c r="G15" s="14" t="s">
        <v>44</v>
      </c>
      <c r="H15" s="15" t="s">
        <v>526</v>
      </c>
    </row>
    <row r="16" spans="1:8">
      <c r="A16" s="12">
        <v>45989</v>
      </c>
      <c r="B16" s="13">
        <v>0.45833333333333331</v>
      </c>
      <c r="C16" s="14" t="s">
        <v>498</v>
      </c>
      <c r="D16" s="17" t="s">
        <v>500</v>
      </c>
      <c r="E16" s="15" t="s">
        <v>27</v>
      </c>
      <c r="F16" s="15" t="s">
        <v>72</v>
      </c>
      <c r="G16" s="14" t="s">
        <v>45</v>
      </c>
      <c r="H16" s="15" t="s">
        <v>526</v>
      </c>
    </row>
  </sheetData>
  <phoneticPr fontId="4"/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BC66-B405-4328-9E56-58DB7F381DD7}">
  <dimension ref="A1:E14"/>
  <sheetViews>
    <sheetView workbookViewId="0">
      <selection activeCell="E14" sqref="A1:E14"/>
    </sheetView>
  </sheetViews>
  <sheetFormatPr defaultRowHeight="14.5"/>
  <sheetData>
    <row r="1" spans="1:5">
      <c r="A1" s="2" t="s">
        <v>2</v>
      </c>
      <c r="B1" s="34" t="s">
        <v>1348</v>
      </c>
      <c r="C1" s="2" t="s">
        <v>3</v>
      </c>
      <c r="D1" s="2" t="s">
        <v>4</v>
      </c>
      <c r="E1" s="2" t="s">
        <v>5</v>
      </c>
    </row>
    <row r="2" spans="1:5">
      <c r="A2" s="3" t="s">
        <v>6</v>
      </c>
      <c r="B2" s="1"/>
      <c r="C2" s="3"/>
      <c r="D2" s="1"/>
      <c r="E2" s="1"/>
    </row>
    <row r="3" spans="1:5">
      <c r="A3" s="3" t="s">
        <v>347</v>
      </c>
      <c r="B3" s="1"/>
      <c r="C3" s="3"/>
      <c r="D3" s="1"/>
      <c r="E3" s="1"/>
    </row>
    <row r="4" spans="1:5">
      <c r="A4" s="3" t="s">
        <v>7</v>
      </c>
      <c r="B4" s="1"/>
      <c r="C4" s="3"/>
      <c r="D4" s="1"/>
      <c r="E4" s="1"/>
    </row>
    <row r="5" spans="1:5">
      <c r="A5" s="3" t="s">
        <v>8</v>
      </c>
      <c r="B5" s="1"/>
      <c r="C5" s="3"/>
      <c r="D5" s="1"/>
      <c r="E5" s="1"/>
    </row>
    <row r="6" spans="1:5">
      <c r="A6" s="3" t="s">
        <v>9</v>
      </c>
      <c r="B6" s="1"/>
      <c r="C6" s="3"/>
      <c r="D6" s="1"/>
      <c r="E6" s="1"/>
    </row>
    <row r="7" spans="1:5">
      <c r="A7" s="3" t="s">
        <v>9</v>
      </c>
      <c r="B7" s="1"/>
      <c r="C7" s="3"/>
      <c r="D7" s="1"/>
      <c r="E7" s="1"/>
    </row>
    <row r="8" spans="1:5">
      <c r="A8" s="3" t="s">
        <v>10</v>
      </c>
      <c r="B8" s="1"/>
      <c r="C8" s="3"/>
      <c r="D8" s="1"/>
      <c r="E8" s="1"/>
    </row>
    <row r="9" spans="1:5">
      <c r="A9" s="3" t="s">
        <v>11</v>
      </c>
      <c r="B9" s="1"/>
      <c r="C9" s="3"/>
      <c r="D9" s="1"/>
      <c r="E9" s="1"/>
    </row>
    <row r="10" spans="1:5">
      <c r="A10" s="3" t="s">
        <v>12</v>
      </c>
      <c r="B10" s="1"/>
      <c r="C10" s="3"/>
      <c r="D10" s="1"/>
      <c r="E10" s="1"/>
    </row>
    <row r="11" spans="1:5">
      <c r="A11" s="3" t="s">
        <v>13</v>
      </c>
      <c r="B11" s="1"/>
      <c r="C11" s="3"/>
      <c r="D11" s="1"/>
      <c r="E11" s="1"/>
    </row>
    <row r="12" spans="1:5">
      <c r="A12" s="3" t="s">
        <v>14</v>
      </c>
      <c r="B12" s="1"/>
      <c r="C12" s="3"/>
      <c r="D12" s="1"/>
      <c r="E12" s="1"/>
    </row>
    <row r="13" spans="1:5">
      <c r="A13" s="3" t="s">
        <v>15</v>
      </c>
      <c r="B13" s="1">
        <v>50000</v>
      </c>
      <c r="C13" s="3">
        <f t="shared" ref="C13:C14" si="0">B13*1.1</f>
        <v>55000.000000000007</v>
      </c>
      <c r="D13" s="1">
        <v>2000</v>
      </c>
      <c r="E13" s="1"/>
    </row>
    <row r="14" spans="1:5">
      <c r="A14" s="3" t="s">
        <v>348</v>
      </c>
      <c r="B14" s="1">
        <v>50000</v>
      </c>
      <c r="C14" s="3">
        <f t="shared" si="0"/>
        <v>55000.000000000007</v>
      </c>
      <c r="D14" s="1">
        <v>2000</v>
      </c>
      <c r="E14" s="1"/>
    </row>
  </sheetData>
  <phoneticPr fontId="4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558E-7201-496C-A62D-6C3D9FEB9858}">
  <dimension ref="A1:J6"/>
  <sheetViews>
    <sheetView workbookViewId="0">
      <selection activeCell="M9" sqref="M9"/>
    </sheetView>
  </sheetViews>
  <sheetFormatPr defaultRowHeight="14.5"/>
  <cols>
    <col min="1" max="1" width="11" bestFit="1" customWidth="1"/>
    <col min="9" max="10" width="11.36328125" bestFit="1" customWidth="1"/>
  </cols>
  <sheetData>
    <row r="1" spans="1:10">
      <c r="A1" s="8" t="s">
        <v>16</v>
      </c>
      <c r="B1" s="8" t="s">
        <v>1349</v>
      </c>
      <c r="C1" s="8" t="s">
        <v>1350</v>
      </c>
      <c r="D1" s="8" t="s">
        <v>1351</v>
      </c>
      <c r="E1" s="8" t="s">
        <v>74</v>
      </c>
      <c r="F1" s="8" t="s">
        <v>1352</v>
      </c>
      <c r="G1" s="8" t="s">
        <v>1353</v>
      </c>
      <c r="H1" s="8" t="s">
        <v>1354</v>
      </c>
      <c r="I1" s="8" t="s">
        <v>1355</v>
      </c>
      <c r="J1" s="8" t="s">
        <v>1356</v>
      </c>
    </row>
    <row r="2" spans="1:10">
      <c r="A2" s="35">
        <v>45991</v>
      </c>
      <c r="B2" s="8">
        <v>113</v>
      </c>
      <c r="C2" s="8">
        <v>4</v>
      </c>
      <c r="D2" s="36">
        <v>3.5400000000000001E-2</v>
      </c>
      <c r="E2" s="8">
        <v>12.5</v>
      </c>
      <c r="F2" s="36">
        <v>0.25</v>
      </c>
      <c r="G2" s="8">
        <v>50</v>
      </c>
      <c r="H2" s="8">
        <v>1</v>
      </c>
      <c r="I2" s="37">
        <v>100000</v>
      </c>
      <c r="J2" s="36">
        <v>2000</v>
      </c>
    </row>
    <row r="3" spans="1:10">
      <c r="A3" s="35">
        <v>45990</v>
      </c>
      <c r="B3" s="8">
        <v>61</v>
      </c>
      <c r="C3" s="8">
        <v>2</v>
      </c>
      <c r="D3" s="36">
        <v>3.2800000000000003E-2</v>
      </c>
      <c r="E3" s="8">
        <v>10</v>
      </c>
      <c r="F3" s="36">
        <v>0</v>
      </c>
      <c r="G3" s="8">
        <v>20</v>
      </c>
      <c r="H3" s="8">
        <v>0</v>
      </c>
      <c r="I3" s="8">
        <v>0</v>
      </c>
      <c r="J3" s="36">
        <v>0</v>
      </c>
    </row>
    <row r="4" spans="1:10">
      <c r="A4" s="35">
        <v>45989</v>
      </c>
      <c r="B4" s="8">
        <v>80</v>
      </c>
      <c r="C4" s="8">
        <v>2</v>
      </c>
      <c r="D4" s="36">
        <v>2.5000000000000001E-2</v>
      </c>
      <c r="E4" s="8">
        <v>10</v>
      </c>
      <c r="F4" s="36">
        <v>1</v>
      </c>
      <c r="G4" s="8">
        <v>20</v>
      </c>
      <c r="H4" s="8">
        <v>2</v>
      </c>
      <c r="I4" s="37">
        <v>40000</v>
      </c>
      <c r="J4" s="36">
        <v>2000</v>
      </c>
    </row>
    <row r="5" spans="1:10">
      <c r="A5" s="35">
        <v>45988</v>
      </c>
      <c r="B5" s="8">
        <v>68</v>
      </c>
      <c r="C5" s="8">
        <v>3</v>
      </c>
      <c r="D5" s="36">
        <v>4.41E-2</v>
      </c>
      <c r="E5" s="8">
        <v>10</v>
      </c>
      <c r="F5" s="36">
        <v>0</v>
      </c>
      <c r="G5" s="8">
        <v>30</v>
      </c>
      <c r="H5" s="8">
        <v>0</v>
      </c>
      <c r="I5" s="8">
        <v>0</v>
      </c>
      <c r="J5" s="36">
        <v>0</v>
      </c>
    </row>
    <row r="6" spans="1:10">
      <c r="A6" s="35">
        <v>45987</v>
      </c>
      <c r="B6" s="8">
        <v>35</v>
      </c>
      <c r="C6" s="8">
        <v>3</v>
      </c>
      <c r="D6" s="36">
        <v>8.5699999999999998E-2</v>
      </c>
      <c r="E6" s="8">
        <v>10</v>
      </c>
      <c r="F6" s="36">
        <v>0</v>
      </c>
      <c r="G6" s="8">
        <v>30</v>
      </c>
      <c r="H6" s="8">
        <v>0</v>
      </c>
      <c r="I6" s="8">
        <v>0</v>
      </c>
      <c r="J6" s="36">
        <v>0</v>
      </c>
    </row>
  </sheetData>
  <phoneticPr fontId="4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0F2E-EF2B-4FD5-B8A2-6978F04A4F6B}">
  <dimension ref="A1:K23"/>
  <sheetViews>
    <sheetView workbookViewId="0">
      <selection activeCell="A2" sqref="A2:K23"/>
    </sheetView>
  </sheetViews>
  <sheetFormatPr defaultRowHeight="14.5"/>
  <cols>
    <col min="1" max="1" width="8.26953125" bestFit="1" customWidth="1"/>
    <col min="2" max="2" width="85" bestFit="1" customWidth="1"/>
    <col min="3" max="3" width="4.453125" bestFit="1" customWidth="1"/>
    <col min="4" max="4" width="9.26953125" bestFit="1" customWidth="1"/>
    <col min="5" max="5" width="6.26953125" bestFit="1" customWidth="1"/>
    <col min="6" max="6" width="4.453125" bestFit="1" customWidth="1"/>
    <col min="7" max="7" width="8.26953125" bestFit="1" customWidth="1"/>
    <col min="8" max="8" width="7.26953125" bestFit="1" customWidth="1"/>
    <col min="9" max="9" width="9.26953125" bestFit="1" customWidth="1"/>
    <col min="10" max="11" width="11.36328125" bestFit="1" customWidth="1"/>
  </cols>
  <sheetData>
    <row r="1" spans="1:11">
      <c r="A1" s="8" t="s">
        <v>1357</v>
      </c>
      <c r="B1" s="8" t="s">
        <v>1358</v>
      </c>
      <c r="C1" s="8" t="s">
        <v>1349</v>
      </c>
      <c r="D1" s="8" t="s">
        <v>1350</v>
      </c>
      <c r="E1" s="8" t="s">
        <v>1351</v>
      </c>
      <c r="F1" s="8" t="s">
        <v>74</v>
      </c>
      <c r="G1" s="8" t="s">
        <v>1352</v>
      </c>
      <c r="H1" s="8" t="s">
        <v>1353</v>
      </c>
      <c r="I1" s="8" t="s">
        <v>1354</v>
      </c>
      <c r="J1" s="8" t="s">
        <v>1355</v>
      </c>
      <c r="K1" s="8" t="s">
        <v>1356</v>
      </c>
    </row>
    <row r="2" spans="1:11">
      <c r="A2" s="8">
        <v>6631470</v>
      </c>
      <c r="B2" s="8" t="s">
        <v>1359</v>
      </c>
      <c r="C2" s="8">
        <v>80</v>
      </c>
      <c r="D2" s="8">
        <v>4</v>
      </c>
      <c r="E2" s="36">
        <v>0.05</v>
      </c>
      <c r="F2" s="8">
        <v>10</v>
      </c>
      <c r="G2" s="36">
        <v>0</v>
      </c>
      <c r="H2" s="8">
        <v>40</v>
      </c>
      <c r="I2" s="8">
        <v>0</v>
      </c>
      <c r="J2" s="8">
        <v>0</v>
      </c>
      <c r="K2" s="36">
        <v>0</v>
      </c>
    </row>
    <row r="3" spans="1:11">
      <c r="A3" s="8">
        <v>5876871</v>
      </c>
      <c r="B3" s="8" t="s">
        <v>1361</v>
      </c>
      <c r="C3" s="8">
        <v>56</v>
      </c>
      <c r="D3" s="8">
        <v>3</v>
      </c>
      <c r="E3" s="36">
        <v>5.3600000000000002E-2</v>
      </c>
      <c r="F3" s="8">
        <v>13.33</v>
      </c>
      <c r="G3" s="36">
        <v>0</v>
      </c>
      <c r="H3" s="8">
        <v>40</v>
      </c>
      <c r="I3" s="8">
        <v>0</v>
      </c>
      <c r="J3" s="8">
        <v>0</v>
      </c>
      <c r="K3" s="36">
        <v>0</v>
      </c>
    </row>
    <row r="4" spans="1:11">
      <c r="A4" s="8">
        <v>5059709</v>
      </c>
      <c r="B4" s="8" t="s">
        <v>1362</v>
      </c>
      <c r="C4" s="8">
        <v>46</v>
      </c>
      <c r="D4" s="8">
        <v>0</v>
      </c>
      <c r="E4" s="36">
        <v>0</v>
      </c>
      <c r="F4" s="8">
        <v>0</v>
      </c>
      <c r="G4" s="36">
        <v>0</v>
      </c>
      <c r="H4" s="8">
        <v>0</v>
      </c>
      <c r="I4" s="8">
        <v>0</v>
      </c>
      <c r="J4" s="8">
        <v>0</v>
      </c>
      <c r="K4" s="36">
        <v>0</v>
      </c>
    </row>
    <row r="5" spans="1:11">
      <c r="A5" s="8">
        <v>5731119</v>
      </c>
      <c r="B5" s="8" t="s">
        <v>1360</v>
      </c>
      <c r="C5" s="8">
        <v>45</v>
      </c>
      <c r="D5" s="8">
        <v>1</v>
      </c>
      <c r="E5" s="36">
        <v>2.2200000000000001E-2</v>
      </c>
      <c r="F5" s="8">
        <v>10</v>
      </c>
      <c r="G5" s="36">
        <v>2</v>
      </c>
      <c r="H5" s="8">
        <v>10</v>
      </c>
      <c r="I5" s="8">
        <v>2</v>
      </c>
      <c r="J5" s="37">
        <v>40000</v>
      </c>
      <c r="K5" s="36">
        <v>4000</v>
      </c>
    </row>
    <row r="6" spans="1:11">
      <c r="A6" s="8">
        <v>5726392</v>
      </c>
      <c r="B6" s="8" t="s">
        <v>1363</v>
      </c>
      <c r="C6" s="8">
        <v>32</v>
      </c>
      <c r="D6" s="8">
        <v>2</v>
      </c>
      <c r="E6" s="36">
        <v>6.25E-2</v>
      </c>
      <c r="F6" s="8">
        <v>10</v>
      </c>
      <c r="G6" s="36">
        <v>0.5</v>
      </c>
      <c r="H6" s="8">
        <v>20</v>
      </c>
      <c r="I6" s="8">
        <v>1</v>
      </c>
      <c r="J6" s="37">
        <v>100000</v>
      </c>
      <c r="K6" s="36">
        <v>5000</v>
      </c>
    </row>
    <row r="7" spans="1:11">
      <c r="A7" s="8">
        <v>5731118</v>
      </c>
      <c r="B7" s="8" t="s">
        <v>1365</v>
      </c>
      <c r="C7" s="8">
        <v>32</v>
      </c>
      <c r="D7" s="8">
        <v>1</v>
      </c>
      <c r="E7" s="36">
        <v>3.1300000000000001E-2</v>
      </c>
      <c r="F7" s="8">
        <v>10</v>
      </c>
      <c r="G7" s="36">
        <v>0</v>
      </c>
      <c r="H7" s="8">
        <v>10</v>
      </c>
      <c r="I7" s="8">
        <v>0</v>
      </c>
      <c r="J7" s="8">
        <v>0</v>
      </c>
      <c r="K7" s="36">
        <v>0</v>
      </c>
    </row>
    <row r="8" spans="1:11">
      <c r="A8" s="8">
        <v>5219704</v>
      </c>
      <c r="B8" s="8" t="s">
        <v>1364</v>
      </c>
      <c r="C8" s="8">
        <v>27</v>
      </c>
      <c r="D8" s="8">
        <v>1</v>
      </c>
      <c r="E8" s="36">
        <v>3.6999999999999998E-2</v>
      </c>
      <c r="F8" s="8">
        <v>10</v>
      </c>
      <c r="G8" s="36">
        <v>0</v>
      </c>
      <c r="H8" s="8">
        <v>10</v>
      </c>
      <c r="I8" s="8">
        <v>0</v>
      </c>
      <c r="J8" s="8">
        <v>0</v>
      </c>
      <c r="K8" s="36">
        <v>0</v>
      </c>
    </row>
    <row r="9" spans="1:11">
      <c r="A9" s="8">
        <v>30422</v>
      </c>
      <c r="B9" s="8" t="s">
        <v>1366</v>
      </c>
      <c r="C9" s="8">
        <v>11</v>
      </c>
      <c r="D9" s="8">
        <v>0</v>
      </c>
      <c r="E9" s="36">
        <v>0</v>
      </c>
      <c r="F9" s="8">
        <v>0</v>
      </c>
      <c r="G9" s="36">
        <v>0</v>
      </c>
      <c r="H9" s="8">
        <v>0</v>
      </c>
      <c r="I9" s="8">
        <v>0</v>
      </c>
      <c r="J9" s="8">
        <v>0</v>
      </c>
      <c r="K9" s="36">
        <v>0</v>
      </c>
    </row>
    <row r="10" spans="1:11">
      <c r="A10" s="8">
        <v>5219705</v>
      </c>
      <c r="B10" s="8" t="s">
        <v>1367</v>
      </c>
      <c r="C10" s="8">
        <v>7</v>
      </c>
      <c r="D10" s="8">
        <v>0</v>
      </c>
      <c r="E10" s="36">
        <v>0</v>
      </c>
      <c r="F10" s="8">
        <v>0</v>
      </c>
      <c r="G10" s="36">
        <v>0</v>
      </c>
      <c r="H10" s="8">
        <v>0</v>
      </c>
      <c r="I10" s="8">
        <v>0</v>
      </c>
      <c r="J10" s="8">
        <v>0</v>
      </c>
      <c r="K10" s="36">
        <v>0</v>
      </c>
    </row>
    <row r="11" spans="1:11">
      <c r="A11" s="8">
        <v>6216250</v>
      </c>
      <c r="B11" s="8" t="s">
        <v>1368</v>
      </c>
      <c r="C11" s="8">
        <v>5</v>
      </c>
      <c r="D11" s="8">
        <v>0</v>
      </c>
      <c r="E11" s="36">
        <v>0</v>
      </c>
      <c r="F11" s="8">
        <v>0</v>
      </c>
      <c r="G11" s="36">
        <v>0</v>
      </c>
      <c r="H11" s="8">
        <v>0</v>
      </c>
      <c r="I11" s="8">
        <v>0</v>
      </c>
      <c r="J11" s="8">
        <v>0</v>
      </c>
      <c r="K11" s="36">
        <v>0</v>
      </c>
    </row>
    <row r="12" spans="1:11">
      <c r="A12" s="8">
        <v>4663950</v>
      </c>
      <c r="B12" s="8" t="s">
        <v>1469</v>
      </c>
      <c r="C12" s="8">
        <v>2</v>
      </c>
      <c r="D12" s="8">
        <v>1</v>
      </c>
      <c r="E12" s="36">
        <v>0.5</v>
      </c>
      <c r="F12" s="8">
        <v>10</v>
      </c>
      <c r="G12" s="36">
        <v>0</v>
      </c>
      <c r="H12" s="8">
        <v>10</v>
      </c>
      <c r="I12" s="8">
        <v>0</v>
      </c>
      <c r="J12" s="8">
        <v>0</v>
      </c>
      <c r="K12" s="36">
        <v>0</v>
      </c>
    </row>
    <row r="13" spans="1:11">
      <c r="A13" s="8">
        <v>5731122</v>
      </c>
      <c r="B13" s="8" t="s">
        <v>1369</v>
      </c>
      <c r="C13" s="8">
        <v>2</v>
      </c>
      <c r="D13" s="8">
        <v>0</v>
      </c>
      <c r="E13" s="36">
        <v>0</v>
      </c>
      <c r="F13" s="8">
        <v>0</v>
      </c>
      <c r="G13" s="36">
        <v>0</v>
      </c>
      <c r="H13" s="8">
        <v>0</v>
      </c>
      <c r="I13" s="8">
        <v>0</v>
      </c>
      <c r="J13" s="8">
        <v>0</v>
      </c>
      <c r="K13" s="36">
        <v>0</v>
      </c>
    </row>
    <row r="14" spans="1:11">
      <c r="A14" s="8">
        <v>6216258</v>
      </c>
      <c r="B14" s="8" t="s">
        <v>1370</v>
      </c>
      <c r="C14" s="8">
        <v>2</v>
      </c>
      <c r="D14" s="8">
        <v>0</v>
      </c>
      <c r="E14" s="36">
        <v>0</v>
      </c>
      <c r="F14" s="8">
        <v>0</v>
      </c>
      <c r="G14" s="36">
        <v>0</v>
      </c>
      <c r="H14" s="8">
        <v>0</v>
      </c>
      <c r="I14" s="8">
        <v>0</v>
      </c>
      <c r="J14" s="8">
        <v>0</v>
      </c>
      <c r="K14" s="36">
        <v>0</v>
      </c>
    </row>
    <row r="15" spans="1:11">
      <c r="A15" s="8">
        <v>6323345</v>
      </c>
      <c r="B15" s="8" t="s">
        <v>1470</v>
      </c>
      <c r="C15" s="8">
        <v>2</v>
      </c>
      <c r="D15" s="8">
        <v>0</v>
      </c>
      <c r="E15" s="36">
        <v>0</v>
      </c>
      <c r="F15" s="8">
        <v>0</v>
      </c>
      <c r="G15" s="36">
        <v>0</v>
      </c>
      <c r="H15" s="8">
        <v>0</v>
      </c>
      <c r="I15" s="8">
        <v>0</v>
      </c>
      <c r="J15" s="8">
        <v>0</v>
      </c>
      <c r="K15" s="36">
        <v>0</v>
      </c>
    </row>
    <row r="16" spans="1:11">
      <c r="A16" s="8">
        <v>5876917</v>
      </c>
      <c r="B16" s="8" t="s">
        <v>1371</v>
      </c>
      <c r="C16" s="8">
        <v>1</v>
      </c>
      <c r="D16" s="8">
        <v>0</v>
      </c>
      <c r="E16" s="36">
        <v>0</v>
      </c>
      <c r="F16" s="8">
        <v>0</v>
      </c>
      <c r="G16" s="36">
        <v>0</v>
      </c>
      <c r="H16" s="8">
        <v>0</v>
      </c>
      <c r="I16" s="8">
        <v>0</v>
      </c>
      <c r="J16" s="8">
        <v>0</v>
      </c>
      <c r="K16" s="36">
        <v>0</v>
      </c>
    </row>
    <row r="17" spans="1:11">
      <c r="A17" s="8">
        <v>6119242</v>
      </c>
      <c r="B17" s="8" t="s">
        <v>1372</v>
      </c>
      <c r="C17" s="8">
        <v>1</v>
      </c>
      <c r="D17" s="8">
        <v>0</v>
      </c>
      <c r="E17" s="36">
        <v>0</v>
      </c>
      <c r="F17" s="8">
        <v>0</v>
      </c>
      <c r="G17" s="36">
        <v>0</v>
      </c>
      <c r="H17" s="8">
        <v>0</v>
      </c>
      <c r="I17" s="8">
        <v>0</v>
      </c>
      <c r="J17" s="8">
        <v>0</v>
      </c>
      <c r="K17" s="36">
        <v>0</v>
      </c>
    </row>
    <row r="18" spans="1:11">
      <c r="A18" s="8">
        <v>6216255</v>
      </c>
      <c r="B18" s="8" t="s">
        <v>1373</v>
      </c>
      <c r="C18" s="8">
        <v>1</v>
      </c>
      <c r="D18" s="8">
        <v>0</v>
      </c>
      <c r="E18" s="36">
        <v>0</v>
      </c>
      <c r="F18" s="8">
        <v>0</v>
      </c>
      <c r="G18" s="36">
        <v>0</v>
      </c>
      <c r="H18" s="8">
        <v>0</v>
      </c>
      <c r="I18" s="8">
        <v>0</v>
      </c>
      <c r="J18" s="8">
        <v>0</v>
      </c>
      <c r="K18" s="36">
        <v>0</v>
      </c>
    </row>
    <row r="19" spans="1:11">
      <c r="A19" s="8">
        <v>6216259</v>
      </c>
      <c r="B19" s="8" t="s">
        <v>1374</v>
      </c>
      <c r="C19" s="8">
        <v>1</v>
      </c>
      <c r="D19" s="8">
        <v>0</v>
      </c>
      <c r="E19" s="36">
        <v>0</v>
      </c>
      <c r="F19" s="8">
        <v>0</v>
      </c>
      <c r="G19" s="36">
        <v>0</v>
      </c>
      <c r="H19" s="8">
        <v>0</v>
      </c>
      <c r="I19" s="8">
        <v>0</v>
      </c>
      <c r="J19" s="8">
        <v>0</v>
      </c>
      <c r="K19" s="36">
        <v>0</v>
      </c>
    </row>
    <row r="20" spans="1:11">
      <c r="A20" s="8">
        <v>6409360</v>
      </c>
      <c r="B20" s="8" t="s">
        <v>1375</v>
      </c>
      <c r="C20" s="8">
        <v>1</v>
      </c>
      <c r="D20" s="8">
        <v>0</v>
      </c>
      <c r="E20" s="36">
        <v>0</v>
      </c>
      <c r="F20" s="8">
        <v>0</v>
      </c>
      <c r="G20" s="36">
        <v>0</v>
      </c>
      <c r="H20" s="8">
        <v>0</v>
      </c>
      <c r="I20" s="8">
        <v>0</v>
      </c>
      <c r="J20" s="8">
        <v>0</v>
      </c>
      <c r="K20" s="36">
        <v>0</v>
      </c>
    </row>
    <row r="21" spans="1:11">
      <c r="A21" s="8">
        <v>6415137</v>
      </c>
      <c r="B21" s="8" t="s">
        <v>1471</v>
      </c>
      <c r="C21" s="8">
        <v>1</v>
      </c>
      <c r="D21" s="8">
        <v>1</v>
      </c>
      <c r="E21" s="36">
        <v>1</v>
      </c>
      <c r="F21" s="8">
        <v>10</v>
      </c>
      <c r="G21" s="36">
        <v>0</v>
      </c>
      <c r="H21" s="8">
        <v>10</v>
      </c>
      <c r="I21" s="8">
        <v>0</v>
      </c>
      <c r="J21" s="8">
        <v>0</v>
      </c>
      <c r="K21" s="36">
        <v>0</v>
      </c>
    </row>
    <row r="22" spans="1:11">
      <c r="A22" s="8">
        <v>6417027</v>
      </c>
      <c r="B22" s="8" t="s">
        <v>1376</v>
      </c>
      <c r="C22" s="8">
        <v>1</v>
      </c>
      <c r="D22" s="8">
        <v>0</v>
      </c>
      <c r="E22" s="36">
        <v>0</v>
      </c>
      <c r="F22" s="8">
        <v>0</v>
      </c>
      <c r="G22" s="36">
        <v>0</v>
      </c>
      <c r="H22" s="8">
        <v>0</v>
      </c>
      <c r="I22" s="8">
        <v>0</v>
      </c>
      <c r="J22" s="8">
        <v>0</v>
      </c>
      <c r="K22" s="36">
        <v>0</v>
      </c>
    </row>
    <row r="23" spans="1:11">
      <c r="A23" s="8">
        <v>6525229</v>
      </c>
      <c r="B23" s="8" t="s">
        <v>1377</v>
      </c>
      <c r="C23" s="8">
        <v>1</v>
      </c>
      <c r="D23" s="8">
        <v>0</v>
      </c>
      <c r="E23" s="36">
        <v>0</v>
      </c>
      <c r="F23" s="8">
        <v>0</v>
      </c>
      <c r="G23" s="36">
        <v>0</v>
      </c>
      <c r="H23" s="8">
        <v>0</v>
      </c>
      <c r="I23" s="8">
        <v>0</v>
      </c>
      <c r="J23" s="8">
        <v>0</v>
      </c>
      <c r="K23" s="36">
        <v>0</v>
      </c>
    </row>
  </sheetData>
  <phoneticPr fontId="4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984E-370C-4B81-B11D-192B405101CA}">
  <dimension ref="A1:L3"/>
  <sheetViews>
    <sheetView workbookViewId="0">
      <selection activeCell="B7" sqref="B7"/>
    </sheetView>
  </sheetViews>
  <sheetFormatPr defaultRowHeight="14.5"/>
  <cols>
    <col min="1" max="1" width="15.7265625" style="8" bestFit="1" customWidth="1"/>
    <col min="2" max="2" width="85" style="8" bestFit="1" customWidth="1"/>
    <col min="3" max="3" width="13.54296875" style="8" bestFit="1" customWidth="1"/>
    <col min="4" max="4" width="11" style="8" customWidth="1"/>
    <col min="5" max="5" width="9.26953125" style="8" bestFit="1" customWidth="1"/>
    <col min="6" max="6" width="6.26953125" style="8" bestFit="1" customWidth="1"/>
    <col min="7" max="7" width="4.453125" style="8" bestFit="1" customWidth="1"/>
    <col min="8" max="8" width="6.26953125" style="8" bestFit="1" customWidth="1"/>
    <col min="9" max="9" width="7.26953125" style="8" bestFit="1" customWidth="1"/>
    <col min="10" max="10" width="9.26953125" style="8" bestFit="1" customWidth="1"/>
    <col min="11" max="11" width="11.36328125" style="8" bestFit="1" customWidth="1"/>
    <col min="12" max="12" width="6.26953125" style="8" bestFit="1" customWidth="1"/>
    <col min="13" max="16384" width="8.7265625" style="8"/>
  </cols>
  <sheetData>
    <row r="1" spans="1:12">
      <c r="A1" s="8" t="s">
        <v>1378</v>
      </c>
      <c r="B1" s="8" t="s">
        <v>1358</v>
      </c>
      <c r="C1" s="8" t="s">
        <v>43</v>
      </c>
      <c r="D1" s="8" t="s">
        <v>1349</v>
      </c>
      <c r="E1" s="8" t="s">
        <v>1350</v>
      </c>
      <c r="F1" s="8" t="s">
        <v>1351</v>
      </c>
      <c r="G1" s="8" t="s">
        <v>74</v>
      </c>
      <c r="H1" s="8" t="s">
        <v>1352</v>
      </c>
      <c r="I1" s="8" t="s">
        <v>1353</v>
      </c>
      <c r="J1" s="8" t="s">
        <v>1354</v>
      </c>
      <c r="K1" s="8" t="s">
        <v>1355</v>
      </c>
      <c r="L1" s="8" t="s">
        <v>1356</v>
      </c>
    </row>
    <row r="2" spans="1:12">
      <c r="A2" s="38">
        <v>45962</v>
      </c>
      <c r="B2" s="8" t="s">
        <v>1360</v>
      </c>
      <c r="C2" s="8" t="s">
        <v>1253</v>
      </c>
      <c r="D2" s="8">
        <v>1</v>
      </c>
      <c r="E2" s="8">
        <v>0</v>
      </c>
      <c r="F2" s="36">
        <v>0</v>
      </c>
      <c r="G2" s="8">
        <v>0</v>
      </c>
      <c r="H2" s="36">
        <v>0</v>
      </c>
      <c r="I2" s="8">
        <v>0</v>
      </c>
      <c r="J2" s="8">
        <v>0</v>
      </c>
      <c r="K2" s="8">
        <v>0</v>
      </c>
      <c r="L2" s="36">
        <v>0</v>
      </c>
    </row>
    <row r="3" spans="1:12">
      <c r="A3" s="38">
        <v>45962</v>
      </c>
      <c r="B3" s="8" t="s">
        <v>1361</v>
      </c>
      <c r="C3" s="8" t="s">
        <v>1253</v>
      </c>
      <c r="D3" s="8">
        <v>20</v>
      </c>
      <c r="E3" s="8">
        <v>1</v>
      </c>
      <c r="F3" s="36">
        <v>0.05</v>
      </c>
      <c r="G3" s="8">
        <v>20</v>
      </c>
      <c r="H3" s="36">
        <v>0</v>
      </c>
      <c r="I3" s="8">
        <v>20</v>
      </c>
      <c r="J3" s="8">
        <v>0</v>
      </c>
      <c r="K3" s="8">
        <v>0</v>
      </c>
      <c r="L3" s="36">
        <v>0</v>
      </c>
    </row>
  </sheetData>
  <phoneticPr fontId="4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9FAB-721F-4821-88C8-40FAE9667DAA}">
  <dimension ref="A1:H22"/>
  <sheetViews>
    <sheetView topLeftCell="A5" workbookViewId="0">
      <selection activeCell="D6" sqref="D6"/>
    </sheetView>
  </sheetViews>
  <sheetFormatPr defaultRowHeight="14.5"/>
  <cols>
    <col min="1" max="1" width="10.81640625" bestFit="1" customWidth="1"/>
    <col min="2" max="2" width="8.81640625" bestFit="1" customWidth="1"/>
    <col min="4" max="4" width="23.453125" bestFit="1" customWidth="1"/>
    <col min="7" max="7" width="35.1796875" bestFit="1" customWidth="1"/>
    <col min="8" max="8" width="17" bestFit="1" customWidth="1"/>
  </cols>
  <sheetData>
    <row r="1" spans="1:8" ht="16.5">
      <c r="A1" s="67" t="s">
        <v>16</v>
      </c>
      <c r="B1" s="67" t="s">
        <v>67</v>
      </c>
      <c r="C1" s="67" t="s">
        <v>1</v>
      </c>
      <c r="D1" s="67" t="s">
        <v>68</v>
      </c>
      <c r="E1" s="67" t="s">
        <v>69</v>
      </c>
      <c r="F1" s="67" t="s">
        <v>70</v>
      </c>
      <c r="G1" s="67" t="s">
        <v>71</v>
      </c>
      <c r="H1" s="67" t="s">
        <v>5</v>
      </c>
    </row>
    <row r="2" spans="1:8" ht="16.5">
      <c r="A2" s="61">
        <v>45987</v>
      </c>
      <c r="B2" s="62">
        <v>0.66666666666666663</v>
      </c>
      <c r="C2" s="63" t="s">
        <v>498</v>
      </c>
      <c r="D2" s="63" t="s">
        <v>1379</v>
      </c>
      <c r="E2" s="63"/>
      <c r="F2" s="63" t="s">
        <v>72</v>
      </c>
      <c r="G2" s="63" t="s">
        <v>499</v>
      </c>
      <c r="H2" s="63"/>
    </row>
    <row r="3" spans="1:8" ht="18.5">
      <c r="A3" s="61">
        <v>45987</v>
      </c>
      <c r="B3" s="62">
        <v>0.66666666666666663</v>
      </c>
      <c r="C3" s="63" t="s">
        <v>498</v>
      </c>
      <c r="D3" s="63" t="s">
        <v>1467</v>
      </c>
      <c r="E3" s="64" t="s">
        <v>1447</v>
      </c>
      <c r="F3" s="63" t="s">
        <v>72</v>
      </c>
      <c r="G3" s="64" t="s">
        <v>1253</v>
      </c>
      <c r="H3" s="63" t="s">
        <v>1468</v>
      </c>
    </row>
    <row r="4" spans="1:8" ht="18.5">
      <c r="A4" s="61">
        <v>45987</v>
      </c>
      <c r="B4" s="62">
        <v>0.66666666666666663</v>
      </c>
      <c r="C4" s="63" t="s">
        <v>498</v>
      </c>
      <c r="D4" s="63" t="s">
        <v>1467</v>
      </c>
      <c r="E4" s="65" t="s">
        <v>1448</v>
      </c>
      <c r="F4" s="63" t="s">
        <v>72</v>
      </c>
      <c r="G4" s="65" t="s">
        <v>1253</v>
      </c>
      <c r="H4" s="63" t="s">
        <v>1468</v>
      </c>
    </row>
    <row r="5" spans="1:8" ht="18.5">
      <c r="A5" s="61">
        <v>45987</v>
      </c>
      <c r="B5" s="62">
        <v>0.66666666666666663</v>
      </c>
      <c r="C5" s="63" t="s">
        <v>498</v>
      </c>
      <c r="D5" s="63" t="s">
        <v>1467</v>
      </c>
      <c r="E5" s="64" t="s">
        <v>1449</v>
      </c>
      <c r="F5" s="63" t="s">
        <v>72</v>
      </c>
      <c r="G5" s="64" t="s">
        <v>1253</v>
      </c>
      <c r="H5" s="63" t="s">
        <v>1468</v>
      </c>
    </row>
    <row r="6" spans="1:8" ht="18.5">
      <c r="A6" s="61">
        <v>45987</v>
      </c>
      <c r="B6" s="62">
        <v>0.66666666666666663</v>
      </c>
      <c r="C6" s="63" t="s">
        <v>498</v>
      </c>
      <c r="D6" s="63" t="s">
        <v>1467</v>
      </c>
      <c r="E6" s="65" t="s">
        <v>1450</v>
      </c>
      <c r="F6" s="63" t="s">
        <v>72</v>
      </c>
      <c r="G6" s="65" t="s">
        <v>1253</v>
      </c>
      <c r="H6" s="63" t="s">
        <v>1468</v>
      </c>
    </row>
    <row r="7" spans="1:8" ht="18.5">
      <c r="A7" s="61">
        <v>45987</v>
      </c>
      <c r="B7" s="62">
        <v>0.66666666666666663</v>
      </c>
      <c r="C7" s="63" t="s">
        <v>498</v>
      </c>
      <c r="D7" s="63" t="s">
        <v>1467</v>
      </c>
      <c r="E7" s="64" t="s">
        <v>1451</v>
      </c>
      <c r="F7" s="63" t="s">
        <v>72</v>
      </c>
      <c r="G7" s="64" t="s">
        <v>1253</v>
      </c>
      <c r="H7" s="63" t="s">
        <v>1468</v>
      </c>
    </row>
    <row r="8" spans="1:8" ht="18.5">
      <c r="A8" s="61">
        <v>45987</v>
      </c>
      <c r="B8" s="62">
        <v>0.66666666666666663</v>
      </c>
      <c r="C8" s="63" t="s">
        <v>498</v>
      </c>
      <c r="D8" s="63" t="s">
        <v>1467</v>
      </c>
      <c r="E8" s="65" t="s">
        <v>1452</v>
      </c>
      <c r="F8" s="63" t="s">
        <v>72</v>
      </c>
      <c r="G8" s="65" t="s">
        <v>76</v>
      </c>
      <c r="H8" s="63" t="s">
        <v>1468</v>
      </c>
    </row>
    <row r="9" spans="1:8" ht="18.5">
      <c r="A9" s="61">
        <v>45987</v>
      </c>
      <c r="B9" s="62">
        <v>0.66666666666666663</v>
      </c>
      <c r="C9" s="63" t="s">
        <v>498</v>
      </c>
      <c r="D9" s="63" t="s">
        <v>1467</v>
      </c>
      <c r="E9" s="64" t="s">
        <v>1453</v>
      </c>
      <c r="F9" s="63" t="s">
        <v>72</v>
      </c>
      <c r="G9" s="64" t="s">
        <v>1253</v>
      </c>
      <c r="H9" s="63" t="s">
        <v>1468</v>
      </c>
    </row>
    <row r="10" spans="1:8" ht="18.5">
      <c r="A10" s="61">
        <v>45987</v>
      </c>
      <c r="B10" s="62">
        <v>0.66666666666666663</v>
      </c>
      <c r="C10" s="63" t="s">
        <v>498</v>
      </c>
      <c r="D10" s="63" t="s">
        <v>1467</v>
      </c>
      <c r="E10" s="65" t="s">
        <v>1454</v>
      </c>
      <c r="F10" s="63" t="s">
        <v>72</v>
      </c>
      <c r="G10" s="65" t="s">
        <v>1253</v>
      </c>
      <c r="H10" s="63" t="s">
        <v>1468</v>
      </c>
    </row>
    <row r="11" spans="1:8" ht="18.5">
      <c r="A11" s="61">
        <v>45987</v>
      </c>
      <c r="B11" s="62">
        <v>0.66666666666666663</v>
      </c>
      <c r="C11" s="63" t="s">
        <v>498</v>
      </c>
      <c r="D11" s="63" t="s">
        <v>1467</v>
      </c>
      <c r="E11" s="64" t="s">
        <v>1455</v>
      </c>
      <c r="F11" s="63" t="s">
        <v>72</v>
      </c>
      <c r="G11" s="64" t="s">
        <v>1253</v>
      </c>
      <c r="H11" s="63" t="s">
        <v>1468</v>
      </c>
    </row>
    <row r="12" spans="1:8" ht="18.5">
      <c r="A12" s="61">
        <v>45987</v>
      </c>
      <c r="B12" s="62">
        <v>0.66666666666666663</v>
      </c>
      <c r="C12" s="63" t="s">
        <v>498</v>
      </c>
      <c r="D12" s="63" t="s">
        <v>1467</v>
      </c>
      <c r="E12" s="65" t="s">
        <v>1456</v>
      </c>
      <c r="F12" s="63" t="s">
        <v>72</v>
      </c>
      <c r="G12" s="65" t="s">
        <v>1253</v>
      </c>
      <c r="H12" s="63" t="s">
        <v>1468</v>
      </c>
    </row>
    <row r="13" spans="1:8" ht="18.5">
      <c r="A13" s="61">
        <v>45987</v>
      </c>
      <c r="B13" s="62">
        <v>0.66666666666666663</v>
      </c>
      <c r="C13" s="63" t="s">
        <v>498</v>
      </c>
      <c r="D13" s="63" t="s">
        <v>1467</v>
      </c>
      <c r="E13" s="64" t="s">
        <v>1457</v>
      </c>
      <c r="F13" s="63" t="s">
        <v>72</v>
      </c>
      <c r="G13" s="64" t="s">
        <v>1253</v>
      </c>
      <c r="H13" s="63" t="s">
        <v>1468</v>
      </c>
    </row>
    <row r="14" spans="1:8" ht="18.5">
      <c r="A14" s="61">
        <v>45987</v>
      </c>
      <c r="B14" s="62">
        <v>0.66666666666666663</v>
      </c>
      <c r="C14" s="63" t="s">
        <v>498</v>
      </c>
      <c r="D14" s="63" t="s">
        <v>1467</v>
      </c>
      <c r="E14" s="65" t="s">
        <v>1458</v>
      </c>
      <c r="F14" s="63" t="s">
        <v>72</v>
      </c>
      <c r="G14" s="65" t="s">
        <v>1253</v>
      </c>
      <c r="H14" s="63" t="s">
        <v>1468</v>
      </c>
    </row>
    <row r="15" spans="1:8" ht="18.5">
      <c r="A15" s="61">
        <v>45987</v>
      </c>
      <c r="B15" s="62">
        <v>0.66666666666666663</v>
      </c>
      <c r="C15" s="63" t="s">
        <v>498</v>
      </c>
      <c r="D15" s="63" t="s">
        <v>1467</v>
      </c>
      <c r="E15" s="64" t="s">
        <v>1459</v>
      </c>
      <c r="F15" s="63" t="s">
        <v>72</v>
      </c>
      <c r="G15" s="64" t="s">
        <v>1253</v>
      </c>
      <c r="H15" s="63" t="s">
        <v>1468</v>
      </c>
    </row>
    <row r="16" spans="1:8" ht="18.5">
      <c r="A16" s="61">
        <v>45987</v>
      </c>
      <c r="B16" s="62">
        <v>0.66666666666666663</v>
      </c>
      <c r="C16" s="63" t="s">
        <v>498</v>
      </c>
      <c r="D16" s="63" t="s">
        <v>1467</v>
      </c>
      <c r="E16" s="65" t="s">
        <v>1460</v>
      </c>
      <c r="F16" s="63" t="s">
        <v>72</v>
      </c>
      <c r="G16" s="65" t="s">
        <v>1253</v>
      </c>
      <c r="H16" s="63" t="s">
        <v>1468</v>
      </c>
    </row>
    <row r="17" spans="1:8" ht="18.5">
      <c r="A17" s="61">
        <v>45987</v>
      </c>
      <c r="B17" s="62">
        <v>0.66666666666666663</v>
      </c>
      <c r="C17" s="63" t="s">
        <v>498</v>
      </c>
      <c r="D17" s="63" t="s">
        <v>1467</v>
      </c>
      <c r="E17" s="64" t="s">
        <v>1461</v>
      </c>
      <c r="F17" s="66"/>
      <c r="G17" s="64" t="s">
        <v>1253</v>
      </c>
      <c r="H17" s="63" t="s">
        <v>1468</v>
      </c>
    </row>
    <row r="18" spans="1:8" ht="18.5">
      <c r="A18" s="61">
        <v>45987</v>
      </c>
      <c r="B18" s="62">
        <v>0.66666666666666663</v>
      </c>
      <c r="C18" s="63" t="s">
        <v>498</v>
      </c>
      <c r="D18" s="63" t="s">
        <v>1467</v>
      </c>
      <c r="E18" s="65" t="s">
        <v>1462</v>
      </c>
      <c r="F18" s="66"/>
      <c r="G18" s="65" t="s">
        <v>1253</v>
      </c>
      <c r="H18" s="63" t="s">
        <v>1468</v>
      </c>
    </row>
    <row r="19" spans="1:8" ht="18.5">
      <c r="A19" s="61">
        <v>45987</v>
      </c>
      <c r="B19" s="62">
        <v>0.66666666666666663</v>
      </c>
      <c r="C19" s="63" t="s">
        <v>498</v>
      </c>
      <c r="D19" s="63" t="s">
        <v>1467</v>
      </c>
      <c r="E19" s="64" t="s">
        <v>1463</v>
      </c>
      <c r="F19" s="66"/>
      <c r="G19" s="64" t="s">
        <v>1253</v>
      </c>
      <c r="H19" s="63" t="s">
        <v>1468</v>
      </c>
    </row>
    <row r="20" spans="1:8" ht="18.5">
      <c r="A20" s="61">
        <v>45987</v>
      </c>
      <c r="B20" s="62">
        <v>0.66666666666666663</v>
      </c>
      <c r="C20" s="63" t="s">
        <v>498</v>
      </c>
      <c r="D20" s="63" t="s">
        <v>1467</v>
      </c>
      <c r="E20" s="65" t="s">
        <v>1464</v>
      </c>
      <c r="F20" s="66"/>
      <c r="G20" s="65" t="s">
        <v>1253</v>
      </c>
      <c r="H20" s="63" t="s">
        <v>1468</v>
      </c>
    </row>
    <row r="21" spans="1:8" ht="18.5">
      <c r="A21" s="61">
        <v>45987</v>
      </c>
      <c r="B21" s="62">
        <v>0.66666666666666663</v>
      </c>
      <c r="C21" s="63" t="s">
        <v>498</v>
      </c>
      <c r="D21" s="63" t="s">
        <v>1467</v>
      </c>
      <c r="E21" s="64" t="s">
        <v>1465</v>
      </c>
      <c r="F21" s="66"/>
      <c r="G21" s="64" t="s">
        <v>1253</v>
      </c>
      <c r="H21" s="63" t="s">
        <v>1468</v>
      </c>
    </row>
    <row r="22" spans="1:8" ht="18.5">
      <c r="A22" s="61">
        <v>45987</v>
      </c>
      <c r="B22" s="62">
        <v>0.66666666666666663</v>
      </c>
      <c r="C22" s="63" t="s">
        <v>498</v>
      </c>
      <c r="D22" s="63" t="s">
        <v>1467</v>
      </c>
      <c r="E22" s="65" t="s">
        <v>1466</v>
      </c>
      <c r="F22" s="66"/>
      <c r="G22" s="65" t="s">
        <v>1253</v>
      </c>
      <c r="H22" s="63" t="s">
        <v>1468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設定_予算</vt:lpstr>
      <vt:lpstr>月次サマリー</vt:lpstr>
      <vt:lpstr>日次データ_全体</vt:lpstr>
      <vt:lpstr>全体最適レポート</vt:lpstr>
      <vt:lpstr>RPP出稿リスト</vt:lpstr>
      <vt:lpstr>キーワード設定</vt:lpstr>
      <vt:lpstr>店舗月次集計</vt:lpstr>
      <vt:lpstr>過去1年間売り上げ</vt:lpstr>
      <vt:lpstr>過去1年間流入キーワードランキング</vt:lpstr>
      <vt:lpstr>作業履歴</vt:lpstr>
      <vt:lpstr>ふるさとチョイス設定_予算</vt:lpstr>
      <vt:lpstr>ふるさとチョイス日次データ_全体</vt:lpstr>
      <vt:lpstr>ふるさとチョイス全体最適レポート</vt:lpstr>
      <vt:lpstr>ふるさとチョイス設定キーワード</vt:lpstr>
      <vt:lpstr>ふるさとチョイス作業履歴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梶山 福稚</cp:lastModifiedBy>
  <cp:revision>0</cp:revision>
  <dcterms:created xsi:type="dcterms:W3CDTF">2025-11-29T07:29:31Z</dcterms:created>
  <dcterms:modified xsi:type="dcterms:W3CDTF">2025-12-01T04:57:49Z</dcterms:modified>
  <dc:language>en-US</dc:language>
</cp:coreProperties>
</file>